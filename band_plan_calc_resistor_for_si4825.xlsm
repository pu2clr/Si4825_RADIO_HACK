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07" codeName="{857A39E2-67AF-9BA6-E15C-A4B3A0C75593}"/>
  <workbookPr codeName="ThisWorkbook" defaultThemeVersion="166925"/>
  <mc:AlternateContent xmlns:mc="http://schemas.openxmlformats.org/markup-compatibility/2006">
    <mc:Choice Requires="x15">
      <x15ac:absPath xmlns:x15ac="http://schemas.microsoft.com/office/spreadsheetml/2010/11/ac" url="/Users/rcaratti/Desenvolvimento/eu/Arduino/DSP/Si4825_RADIO_HACK/"/>
    </mc:Choice>
  </mc:AlternateContent>
  <xr:revisionPtr revIDLastSave="0" documentId="13_ncr:1_{D489FB0B-6B4A-C946-AEF3-EDE208BD0D27}" xr6:coauthVersionLast="47" xr6:coauthVersionMax="47" xr10:uidLastSave="{00000000-0000-0000-0000-000000000000}"/>
  <bookViews>
    <workbookView xWindow="960" yWindow="760" windowWidth="32640" windowHeight="18740" tabRatio="500" xr2:uid="{00000000-000D-0000-FFFF-FFFF00000000}"/>
  </bookViews>
  <sheets>
    <sheet name="calculate_net_of_resistor" sheetId="2" r:id="rId1"/>
    <sheet name="tabela_banda" sheetId="1" r:id="rId2"/>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loext="http://schemas.libreoffice.org/" uri="{7626C862-2A13-11E5-B345-FEFF819CDC9F}">
      <loext:extCalcPr stringRefSyntax="CalcA1"/>
    </ext>
  </extLst>
</workbook>
</file>

<file path=xl/calcChain.xml><?xml version="1.0" encoding="utf-8"?>
<calcChain xmlns="http://schemas.openxmlformats.org/spreadsheetml/2006/main">
  <c r="A4" i="2" l="1" a="1"/>
  <c r="A4" i="2"/>
  <c r="A5" i="2" a="1"/>
  <c r="A5" i="2"/>
  <c r="A6" i="2" a="1"/>
  <c r="A6" i="2"/>
  <c r="A7" i="2" a="1"/>
  <c r="A7" i="2"/>
  <c r="A8" i="2" a="1"/>
  <c r="A8" i="2"/>
  <c r="A9" i="2" a="1"/>
  <c r="A9" i="2"/>
  <c r="A10" i="2" a="1"/>
  <c r="A10" i="2"/>
  <c r="A11" i="2" a="1"/>
  <c r="A11" i="2"/>
  <c r="A12" i="2" a="1"/>
  <c r="A12" i="2"/>
  <c r="A13" i="2" a="1"/>
  <c r="A13" i="2"/>
  <c r="A14" i="2" a="1"/>
  <c r="A14" i="2"/>
  <c r="A15" i="2" a="1"/>
  <c r="A15" i="2"/>
  <c r="A16" i="2" a="1"/>
  <c r="A16" i="2"/>
  <c r="A17" i="2" a="1"/>
  <c r="A17" i="2"/>
  <c r="A18" i="2" a="1"/>
  <c r="A18" i="2"/>
  <c r="A19" i="2" a="1"/>
  <c r="A19" i="2"/>
  <c r="A20" i="2" a="1"/>
  <c r="A20" i="2"/>
  <c r="I44" i="2"/>
  <c r="I43" i="2"/>
  <c r="I42" i="2"/>
  <c r="I41" i="2"/>
  <c r="I40" i="2"/>
  <c r="I39" i="2"/>
  <c r="I38" i="2"/>
  <c r="I37" i="2"/>
  <c r="I36" i="2"/>
  <c r="I35" i="2"/>
  <c r="I34" i="2"/>
  <c r="I33" i="2"/>
  <c r="I32" i="2"/>
  <c r="I31" i="2"/>
  <c r="I30" i="2"/>
  <c r="I29" i="2"/>
  <c r="I28" i="2"/>
  <c r="I27" i="2"/>
  <c r="I26" i="2"/>
  <c r="I25" i="2"/>
  <c r="I24" i="2"/>
  <c r="I23" i="2"/>
  <c r="I22" i="2"/>
  <c r="I21" i="2"/>
  <c r="I20" i="2"/>
  <c r="I19" i="2"/>
  <c r="I18" i="2"/>
  <c r="I17" i="2"/>
  <c r="I16" i="2"/>
  <c r="I15" i="2"/>
  <c r="I14" i="2"/>
  <c r="I13" i="2"/>
  <c r="I12" i="2"/>
  <c r="I11" i="2"/>
  <c r="I10" i="2"/>
  <c r="I9" i="2"/>
  <c r="I8" i="2"/>
  <c r="I7" i="2"/>
  <c r="I6" i="2"/>
  <c r="I5" i="2"/>
  <c r="I4" i="2"/>
  <c r="G46" i="2"/>
  <c r="J40" i="2" a="1"/>
  <c r="J38" i="2" a="1"/>
  <c r="J18" i="2" a="1"/>
  <c r="J6" i="2" a="1"/>
  <c r="J37" i="2" a="1"/>
  <c r="J21" i="2" a="1"/>
  <c r="J9" i="2" a="1"/>
  <c r="J44" i="2" a="1"/>
  <c r="J36" i="2" a="1"/>
  <c r="J32" i="2" a="1"/>
  <c r="J28" i="2" a="1"/>
  <c r="J24" i="2" a="1"/>
  <c r="J20" i="2" a="1"/>
  <c r="J16" i="2" a="1"/>
  <c r="J12" i="2" a="1"/>
  <c r="J8" i="2" a="1"/>
  <c r="J30" i="2" a="1"/>
  <c r="J22" i="2" a="1"/>
  <c r="J14" i="2" a="1"/>
  <c r="J33" i="2" a="1"/>
  <c r="J17" i="2" a="1"/>
  <c r="J5" i="2" a="1"/>
  <c r="J39" i="2" a="1"/>
  <c r="J43" i="2" a="1"/>
  <c r="J35" i="2" a="1"/>
  <c r="J31" i="2" a="1"/>
  <c r="J27" i="2" a="1"/>
  <c r="J23" i="2" a="1"/>
  <c r="J19" i="2" a="1"/>
  <c r="J15" i="2" a="1"/>
  <c r="J11" i="2" a="1"/>
  <c r="J7" i="2" a="1"/>
  <c r="J34" i="2" a="1"/>
  <c r="J26" i="2" a="1"/>
  <c r="J10" i="2" a="1"/>
  <c r="J29" i="2" a="1"/>
  <c r="J25" i="2" a="1"/>
  <c r="J13" i="2" a="1"/>
  <c r="J42" i="2" a="1"/>
  <c r="J41" i="2" a="1"/>
  <c r="J4" i="2" a="1"/>
  <c r="J41" i="2" l="1"/>
  <c r="J42" i="2"/>
  <c r="J13" i="2"/>
  <c r="J25" i="2"/>
  <c r="J29" i="2"/>
  <c r="J10" i="2"/>
  <c r="J26" i="2"/>
  <c r="J34" i="2"/>
  <c r="J7" i="2"/>
  <c r="J11" i="2"/>
  <c r="J15" i="2"/>
  <c r="J19" i="2"/>
  <c r="J23" i="2"/>
  <c r="J27" i="2"/>
  <c r="J31" i="2"/>
  <c r="J35" i="2"/>
  <c r="J43" i="2"/>
  <c r="J39" i="2"/>
  <c r="J5" i="2"/>
  <c r="J17" i="2"/>
  <c r="J33" i="2"/>
  <c r="J14" i="2"/>
  <c r="J22" i="2"/>
  <c r="J30" i="2"/>
  <c r="J8" i="2"/>
  <c r="J12" i="2"/>
  <c r="J16" i="2"/>
  <c r="J20" i="2"/>
  <c r="J24" i="2"/>
  <c r="J28" i="2"/>
  <c r="J32" i="2"/>
  <c r="J36" i="2"/>
  <c r="J44" i="2"/>
  <c r="J9" i="2"/>
  <c r="J21" i="2"/>
  <c r="J37" i="2"/>
  <c r="J6" i="2"/>
  <c r="J18" i="2"/>
  <c r="J38" i="2"/>
  <c r="J40" i="2"/>
  <c r="J4" i="2"/>
  <c r="H29" i="1"/>
  <c r="H9" i="1"/>
  <c r="H45" i="1"/>
  <c r="H43" i="1"/>
  <c r="H42" i="1"/>
  <c r="H41" i="1"/>
  <c r="H39" i="1"/>
  <c r="H38" i="1"/>
  <c r="H37" i="1"/>
  <c r="H33" i="1"/>
  <c r="H30" i="1"/>
  <c r="G6" i="1"/>
  <c r="G46" i="1"/>
  <c r="G45" i="1"/>
  <c r="G44" i="1"/>
  <c r="G43" i="1"/>
  <c r="G42" i="1"/>
  <c r="G41" i="1"/>
  <c r="G40" i="1"/>
  <c r="G39" i="1"/>
  <c r="G38" i="1"/>
  <c r="G37" i="1"/>
  <c r="G36" i="1"/>
  <c r="G35" i="1"/>
  <c r="G34" i="1"/>
  <c r="G33" i="1"/>
  <c r="G32" i="1"/>
  <c r="G31" i="1"/>
  <c r="G30" i="1"/>
  <c r="G29" i="1"/>
  <c r="G28" i="1"/>
  <c r="G27" i="1"/>
  <c r="G26" i="1"/>
  <c r="G25" i="1"/>
  <c r="G24" i="1"/>
  <c r="G23" i="1"/>
  <c r="G22" i="1"/>
  <c r="G21" i="1"/>
  <c r="G20" i="1"/>
  <c r="G19" i="1"/>
  <c r="G18" i="1"/>
  <c r="G17" i="1"/>
  <c r="G16" i="1"/>
  <c r="G15" i="1"/>
  <c r="G14" i="1"/>
  <c r="G13" i="1"/>
  <c r="G12" i="1"/>
  <c r="G11" i="1"/>
  <c r="G10" i="1"/>
  <c r="G9" i="1"/>
  <c r="G8" i="1"/>
  <c r="G7" i="1"/>
  <c r="A21" i="2" a="1"/>
  <c r="A21" i="2" l="1"/>
  <c r="J45" i="2"/>
  <c r="J46" i="2" s="1"/>
  <c r="H48" i="1"/>
  <c r="G48" i="1"/>
  <c r="A24" i="2" a="1"/>
  <c r="A26" i="2" a="1"/>
  <c r="A23" i="2" a="1"/>
  <c r="A22" i="2" a="1"/>
  <c r="A25" i="2" a="1"/>
  <c r="A25" i="2" l="1"/>
  <c r="A22" i="2"/>
  <c r="A23" i="2"/>
  <c r="A26" i="2"/>
  <c r="A24" i="2"/>
  <c r="A27" i="2" a="1"/>
  <c r="A27" i="2" l="1"/>
  <c r="A30" i="2" a="1"/>
  <c r="A29" i="2" a="1"/>
  <c r="A28" i="2" a="1"/>
  <c r="A28" i="2" l="1"/>
  <c r="A29" i="2"/>
  <c r="A30" i="2"/>
  <c r="A32" i="2" a="1"/>
  <c r="A31" i="2" a="1"/>
  <c r="A34" i="2" a="1"/>
  <c r="A33" i="2" a="1"/>
  <c r="A33" i="2" l="1"/>
  <c r="A34" i="2"/>
  <c r="A31" i="2"/>
  <c r="A32" i="2"/>
  <c r="A35" i="2" a="1"/>
  <c r="A35" i="2" l="1"/>
  <c r="A36" i="2" a="1"/>
  <c r="A36" i="2" l="1"/>
  <c r="A38" i="2" a="1"/>
  <c r="A37" i="2" a="1"/>
  <c r="A37" i="2" l="1"/>
  <c r="A38" i="2"/>
  <c r="A39" i="2" a="1"/>
  <c r="A39" i="2" l="1"/>
  <c r="A40" i="2" a="1"/>
  <c r="A40" i="2" l="1"/>
  <c r="A42" i="2" a="1"/>
  <c r="A41" i="2" a="1"/>
  <c r="A41" i="2" l="1"/>
  <c r="A42" i="2"/>
  <c r="A44" i="2" a="1"/>
  <c r="A43" i="2" a="1"/>
  <c r="A43" i="2" l="1"/>
  <c r="A44"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<sst xmlns="http://schemas.openxmlformats.org/spreadsheetml/2006/main" count="310" uniqueCount="137">
  <si>
    <t xml:space="preserve"> Band Name  </t>
  </si>
  <si>
    <t xml:space="preserve"> Band Frequency Range       </t>
  </si>
  <si>
    <t xml:space="preserve"> Channel Space </t>
  </si>
  <si>
    <t xml:space="preserve">            </t>
  </si>
  <si>
    <t xml:space="preserve">                            </t>
  </si>
  <si>
    <t xml:space="preserve">               </t>
  </si>
  <si>
    <t xml:space="preserve"> FM1        </t>
  </si>
  <si>
    <t xml:space="preserve"> 87-108 MHz (50 µs)         </t>
  </si>
  <si>
    <t xml:space="preserve"> FM2        </t>
  </si>
  <si>
    <t xml:space="preserve"> FM3        </t>
  </si>
  <si>
    <t xml:space="preserve"> 87-108 MHz (75 µs)         </t>
  </si>
  <si>
    <t xml:space="preserve"> FM4        </t>
  </si>
  <si>
    <t xml:space="preserve"> FM5        </t>
  </si>
  <si>
    <t xml:space="preserve"> 86.5-109 MHz (50 µs)       </t>
  </si>
  <si>
    <t xml:space="preserve"> FM6        </t>
  </si>
  <si>
    <t xml:space="preserve"> FM7        </t>
  </si>
  <si>
    <t xml:space="preserve"> 87.3-108.25 MHz (50 µs)    </t>
  </si>
  <si>
    <t xml:space="preserve"> FM8        </t>
  </si>
  <si>
    <t xml:space="preserve"> FM9        </t>
  </si>
  <si>
    <t xml:space="preserve"> 87.3-108.25 MHz (75 µs)    </t>
  </si>
  <si>
    <t xml:space="preserve"> FM10       </t>
  </si>
  <si>
    <t xml:space="preserve"> FM11       </t>
  </si>
  <si>
    <t xml:space="preserve"> 76-90 MHz (50 µs)          </t>
  </si>
  <si>
    <t xml:space="preserve"> FM12       </t>
  </si>
  <si>
    <t xml:space="preserve"> FM13       </t>
  </si>
  <si>
    <t xml:space="preserve"> 64-87 MHz (50 µs)          </t>
  </si>
  <si>
    <t xml:space="preserve"> FM14       </t>
  </si>
  <si>
    <t xml:space="preserve"> FM15       </t>
  </si>
  <si>
    <t xml:space="preserve"> 76-108 MHz (50 µs)         </t>
  </si>
  <si>
    <t xml:space="preserve"> FM16       </t>
  </si>
  <si>
    <t xml:space="preserve"> FM17       </t>
  </si>
  <si>
    <t xml:space="preserve"> 64-108 MHz (50 µs)         </t>
  </si>
  <si>
    <t xml:space="preserve"> FM18       </t>
  </si>
  <si>
    <t xml:space="preserve"> AM1        </t>
  </si>
  <si>
    <t xml:space="preserve"> 520-1710 kHz               </t>
  </si>
  <si>
    <t xml:space="preserve">     10k       </t>
  </si>
  <si>
    <t xml:space="preserve"> AM2        </t>
  </si>
  <si>
    <t xml:space="preserve"> 522-1620 kHz               </t>
  </si>
  <si>
    <t xml:space="preserve">      9k       </t>
  </si>
  <si>
    <t xml:space="preserve"> AM3        </t>
  </si>
  <si>
    <t xml:space="preserve"> 504-1665 kHz               </t>
  </si>
  <si>
    <t xml:space="preserve"> AM4        </t>
  </si>
  <si>
    <t xml:space="preserve"> 522-1728 kHz/520-1730 kHz  </t>
  </si>
  <si>
    <t xml:space="preserve">      9k / 10k </t>
  </si>
  <si>
    <t xml:space="preserve"> AM5        </t>
  </si>
  <si>
    <t xml:space="preserve"> 510-1750 kHz               </t>
  </si>
  <si>
    <t xml:space="preserve">      5k       </t>
  </si>
  <si>
    <t xml:space="preserve"> SW1-Narrow </t>
  </si>
  <si>
    <t xml:space="preserve"> 2.30-2.49 MHz              </t>
  </si>
  <si>
    <t xml:space="preserve"> SW2-Narrow </t>
  </si>
  <si>
    <t xml:space="preserve"> 3.20-3.40 MHz              </t>
  </si>
  <si>
    <t xml:space="preserve"> SW3-Narrow </t>
  </si>
  <si>
    <t xml:space="preserve"> 3.90-4.00 MHz              </t>
  </si>
  <si>
    <t xml:space="preserve"> SW4-Narrow </t>
  </si>
  <si>
    <t xml:space="preserve"> 4.75-5.06 MHz              </t>
  </si>
  <si>
    <t xml:space="preserve"> SW5-Narrow </t>
  </si>
  <si>
    <t xml:space="preserve"> 5.6-6.4 MHz                </t>
  </si>
  <si>
    <t xml:space="preserve"> SW6-Narrow </t>
  </si>
  <si>
    <t xml:space="preserve"> SW7-Narrow </t>
  </si>
  <si>
    <t xml:space="preserve"> 6.8-7.6 MHz                </t>
  </si>
  <si>
    <t xml:space="preserve"> SW8-Narrow </t>
  </si>
  <si>
    <t xml:space="preserve"> 7.1-7.6 MHz                </t>
  </si>
  <si>
    <t xml:space="preserve"> SW9-Narrow </t>
  </si>
  <si>
    <t xml:space="preserve"> 9.2-10 MHz                 </t>
  </si>
  <si>
    <t xml:space="preserve"> SW10-Narrow</t>
  </si>
  <si>
    <t xml:space="preserve"> 11.45-12.25 MHz            </t>
  </si>
  <si>
    <t xml:space="preserve"> SW11-Narrow</t>
  </si>
  <si>
    <t xml:space="preserve"> 11.6-12.2 MHz              </t>
  </si>
  <si>
    <t xml:space="preserve"> SW12-Narrow</t>
  </si>
  <si>
    <t xml:space="preserve"> 13.4-14.2 MHz              </t>
  </si>
  <si>
    <t xml:space="preserve"> SW13-Narrow</t>
  </si>
  <si>
    <t xml:space="preserve"> 13.57-13.87 MHz            </t>
  </si>
  <si>
    <t xml:space="preserve"> SW14-Narrow</t>
  </si>
  <si>
    <t xml:space="preserve"> 15 -15.9 MHz               </t>
  </si>
  <si>
    <t xml:space="preserve"> SW15-Narrow</t>
  </si>
  <si>
    <t xml:space="preserve"> 17.1 -18 MHz               </t>
  </si>
  <si>
    <t xml:space="preserve"> SW16-Narrow</t>
  </si>
  <si>
    <t xml:space="preserve"> 17.48-17.9 MHz             </t>
  </si>
  <si>
    <t xml:space="preserve"> SW17-Narrow</t>
  </si>
  <si>
    <t xml:space="preserve"> 21.2-22 MHz                </t>
  </si>
  <si>
    <t xml:space="preserve"> SW18-Narrow</t>
  </si>
  <si>
    <t xml:space="preserve"> 21.45-21.85 MHz            </t>
  </si>
  <si>
    <t>Band Number</t>
  </si>
  <si>
    <t xml:space="preserve">            TOTAL</t>
  </si>
  <si>
    <t>Band Allocation Plan for a 12-Position Band Selector (12 Bands - One FM Band, One AM Band, and Ten Shortwave Bands) for the Si4825.</t>
  </si>
  <si>
    <t>Development of a band allocation plan for a 12-position selector, designed to control a receiver based on the Si4825. The plan segments the spectrum into 12 bands, covering one FM band, one AM band, and ten Shortwave (SW) bands. The band definition aims to optimize signal reception, ensuring comprehensive coverage of radio frequency ranges, with a focus on minimizing interference and maximizing the device's selectivity.</t>
  </si>
  <si>
    <t>Narrow (SW)</t>
  </si>
  <si>
    <t>Wide (SW)</t>
  </si>
  <si>
    <t>2.3-10.0 MHz</t>
  </si>
  <si>
    <t>3.7-12.5 MHz</t>
  </si>
  <si>
    <t>5.9-9.50 MHz</t>
  </si>
  <si>
    <t xml:space="preserve">5.9-18.0 MHz </t>
  </si>
  <si>
    <t>7.0-16.0 MHz</t>
  </si>
  <si>
    <t>9.0-16.0 MHz</t>
  </si>
  <si>
    <t>9.0-22.0 MHz</t>
  </si>
  <si>
    <t>9.5-18.0 MHz</t>
  </si>
  <si>
    <t xml:space="preserve">10.0-22.0 MHz </t>
  </si>
  <si>
    <t>18.0-28.5 MHz</t>
  </si>
  <si>
    <t>-</t>
  </si>
  <si>
    <t>Refer to the table for the lower and upper frequency limit options in the Narrow and Wide Band configurations. This option can be selected through pin 1 (LNA_EN) of the Si4825.</t>
  </si>
  <si>
    <t>See:  BROADCAST MECHANICAL TUNING AM/FM/SW RADIO RECEIVER (Si4825-A10)  and  SKYWORKS -  Si4825 DEMO BOARD USER'S GUIDE (Si4825-DEMO)</t>
  </si>
  <si>
    <t xml:space="preserve"> Accumulated Value(kΩ) </t>
  </si>
  <si>
    <t>Aditional Resistor (kΩ)</t>
  </si>
  <si>
    <t>Step/Offset (kΩ)</t>
  </si>
  <si>
    <t>Band</t>
  </si>
  <si>
    <t>Plan</t>
  </si>
  <si>
    <t>Resistor</t>
  </si>
  <si>
    <t>to be added</t>
  </si>
  <si>
    <t xml:space="preserve"> Accumulated</t>
  </si>
  <si>
    <t xml:space="preserve">Value(kΩ) </t>
  </si>
  <si>
    <t>Step</t>
  </si>
  <si>
    <t>Offset (kΩ)</t>
  </si>
  <si>
    <t xml:space="preserve"> Band</t>
  </si>
  <si>
    <t>Name</t>
  </si>
  <si>
    <t>Selector/Switch</t>
  </si>
  <si>
    <t xml:space="preserve"> Channel </t>
  </si>
  <si>
    <t>Space</t>
  </si>
  <si>
    <t>How to Use This Spreadsheet:
1. Assign  1  to the "Band Plan" column for the bands you intend to use and  0  for the bands you wish to discard.  
2. Note that the "Resistor to be Added" column will be calculated automatically. These resistor values represent the components you need to use in the resistor network to configure the band switch.  
3. The first band must start with a  47K resistor  ("bottom resistor connected to the ground"). Pay attention to the "top resistor connected to Tune1." This resistor complements the network to reach a total resistance of  500K .  
As a demonstration, the spreadsheet is configured for a receiver with a 12-position band switch. The bands selected for the receiver are highlighted in yellow.</t>
  </si>
  <si>
    <t>Ensure that the calculated fields ("Band Number Selector/Switch" and "Resistor to be Added") are updating. If not, run the "ForceFullRecalculation" macro or close and reopen the spreadsheet.</t>
  </si>
  <si>
    <t xml:space="preserve"> SW1 </t>
  </si>
  <si>
    <t xml:space="preserve"> SW2 </t>
  </si>
  <si>
    <t xml:space="preserve"> SW3 </t>
  </si>
  <si>
    <t xml:space="preserve"> SW4 </t>
  </si>
  <si>
    <t xml:space="preserve"> SW5 </t>
  </si>
  <si>
    <t xml:space="preserve"> SW6 </t>
  </si>
  <si>
    <t xml:space="preserve"> SW7 </t>
  </si>
  <si>
    <t xml:space="preserve"> SW8 </t>
  </si>
  <si>
    <t xml:space="preserve"> SW9 </t>
  </si>
  <si>
    <t xml:space="preserve"> SW10 </t>
  </si>
  <si>
    <t xml:space="preserve"> SW11 </t>
  </si>
  <si>
    <t xml:space="preserve"> SW12 </t>
  </si>
  <si>
    <t xml:space="preserve"> SW13 </t>
  </si>
  <si>
    <t xml:space="preserve"> SW14 </t>
  </si>
  <si>
    <t xml:space="preserve"> SW15 </t>
  </si>
  <si>
    <t xml:space="preserve"> SW16 </t>
  </si>
  <si>
    <t xml:space="preserve"> SW17 </t>
  </si>
  <si>
    <t xml:space="preserve"> SW18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</si>
</sst>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0"/>
      <name val="Arial"/>
      <family val="2"/>
    </font>
    <font>
      <b/>
      <sz val="10"/>
      <color rgb="FFFFFF00"/>
      <name val="Arial"/>
      <family val="2"/>
    </font>
    <font>
      <sz val="10"/>
      <color rgb="FFFFFF00"/>
      <name val="Arial"/>
      <family val="2"/>
    </font>
    <font>
      <b/>
      <sz val="12"/>
      <color theme="8" tint="-0.499984740745262"/>
      <name val="Arial"/>
      <family val="2"/>
    </font>
    <font>
      <b/>
      <sz val="10"/>
      <name val="Arial"/>
      <family val="2"/>
    </font>
    <font>
      <sz val="18"/>
      <name val="Arial"/>
      <family val="2"/>
    </font>
    <font>
      <sz val="16"/>
      <color theme="4"/>
      <name val="Arial"/>
      <family val="2"/>
    </font>
    <font>
      <b/>
      <sz val="12"/>
      <color theme="4"/>
      <name val="Arial"/>
      <family val="2"/>
    </font>
    <font>
      <b/>
      <sz val="10"/>
      <color theme="4" tint="-0.499984740745262"/>
      <name val="Arial"/>
      <family val="2"/>
    </font>
    <font>
      <b/>
      <sz val="10"/>
      <color rgb="FFFF0000"/>
      <name val="Arial"/>
      <family val="2"/>
    </font>
    <font>
      <b/>
      <sz val="8"/>
      <name val="Arial"/>
      <family val="2"/>
    </font>
  </fonts>
  <fills count="7">
    <fill>
      <patternFill patternType="none"/>
    </fill>
    <fill>
      <patternFill patternType="gray125"/>
    </fill>
    <fill>
      <patternFill patternType="solid">
        <fgColor theme="4"/>
        <bgColor indexed="64"/>
      </patternFill>
    </fill>
    <fill>
      <patternFill patternType="solid">
        <fgColor rgb="FFFF0000"/>
        <bgColor indexed="64"/>
      </patternFill>
    </fill>
    <fill>
      <patternFill patternType="solid">
        <fgColor rgb="FF00B050"/>
        <bgColor indexed="64"/>
      </patternFill>
    </fill>
    <fill>
      <patternFill patternType="solid">
        <fgColor theme="9" tint="-0.249977111117893"/>
        <bgColor indexed="64"/>
      </patternFill>
    </fill>
    <fill>
      <patternFill patternType="solid">
        <fgColor theme="6"/>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bottom/>
      <diagonal/>
    </border>
  </borders>
  <cellStyleXfs count="1">
    <xf numFmtId="0" fontId="0" fillId="0" borderId="0"/>
  </cellStyleXfs>
  <cellXfs count="34">
    <xf numFmtId="0" fontId="0" fillId="0" borderId="0" xfId="0"/>
    <xf numFmtId="0" fontId="0" fillId="0" borderId="1" xfId="0" applyBorder="1"/>
    <xf numFmtId="0" fontId="1" fillId="2" borderId="1" xfId="0" applyFont="1" applyFill="1" applyBorder="1"/>
    <xf numFmtId="0" fontId="1" fillId="3" borderId="1" xfId="0" applyFont="1" applyFill="1" applyBorder="1"/>
    <xf numFmtId="0" fontId="1" fillId="4" borderId="1" xfId="0" applyFont="1" applyFill="1" applyBorder="1"/>
    <xf numFmtId="0" fontId="2" fillId="5" borderId="1" xfId="0" applyFont="1" applyFill="1" applyBorder="1"/>
    <xf numFmtId="0" fontId="3" fillId="6" borderId="1" xfId="0" applyFont="1" applyFill="1" applyBorder="1" applyAlignment="1">
      <alignment horizontal="center"/>
    </xf>
    <xf numFmtId="0" fontId="3" fillId="6" borderId="2" xfId="0" applyFont="1" applyFill="1" applyBorder="1" applyAlignment="1">
      <alignment horizontal="center"/>
    </xf>
    <xf numFmtId="0" fontId="0" fillId="0" borderId="1" xfId="0" applyBorder="1" applyAlignment="1">
      <alignment horizontal="center"/>
    </xf>
    <xf numFmtId="0" fontId="4" fillId="0" borderId="1" xfId="0" applyFont="1" applyBorder="1"/>
    <xf numFmtId="0" fontId="4" fillId="0" borderId="1" xfId="0" applyFont="1" applyBorder="1" applyAlignment="1">
      <alignment horizontal="center"/>
    </xf>
    <xf numFmtId="0" fontId="1" fillId="2" borderId="1" xfId="0" applyFont="1" applyFill="1" applyBorder="1" applyAlignment="1">
      <alignment horizontal="center"/>
    </xf>
    <xf numFmtId="0" fontId="1" fillId="3" borderId="1" xfId="0" applyFont="1" applyFill="1" applyBorder="1" applyAlignment="1">
      <alignment horizontal="center"/>
    </xf>
    <xf numFmtId="0" fontId="0" fillId="0" borderId="1" xfId="0" applyBorder="1" applyAlignment="1">
      <alignment horizontal="center" vertical="center"/>
    </xf>
    <xf numFmtId="0" fontId="0" fillId="0" borderId="13" xfId="0" applyBorder="1"/>
    <xf numFmtId="0" fontId="3" fillId="6" borderId="9" xfId="0" applyFont="1" applyFill="1" applyBorder="1" applyAlignment="1">
      <alignment horizontal="center"/>
    </xf>
    <xf numFmtId="0" fontId="3" fillId="6" borderId="10" xfId="0" applyFont="1" applyFill="1" applyBorder="1" applyAlignment="1">
      <alignment horizontal="center"/>
    </xf>
    <xf numFmtId="0" fontId="5" fillId="0" borderId="0" xfId="0" applyFont="1" applyAlignment="1">
      <alignment horizontal="left" vertical="top" wrapText="1"/>
    </xf>
    <xf numFmtId="0" fontId="6" fillId="0" borderId="0" xfId="0" applyFont="1" applyAlignment="1">
      <alignment horizontal="left" wrapText="1"/>
    </xf>
    <xf numFmtId="0" fontId="0" fillId="0" borderId="1" xfId="0" applyBorder="1" applyAlignment="1">
      <alignment horizontal="center" vertical="center"/>
    </xf>
    <xf numFmtId="0" fontId="0" fillId="0" borderId="11" xfId="0" applyBorder="1" applyAlignment="1">
      <alignment horizontal="center" vertical="center"/>
    </xf>
    <xf numFmtId="0" fontId="0" fillId="0" borderId="2" xfId="0" applyBorder="1" applyAlignment="1">
      <alignment horizontal="center" vertical="center"/>
    </xf>
    <xf numFmtId="0" fontId="0" fillId="0" borderId="12" xfId="0" applyBorder="1" applyAlignment="1">
      <alignment horizontal="center" vertical="center"/>
    </xf>
    <xf numFmtId="0" fontId="7" fillId="0" borderId="0" xfId="0" applyFont="1" applyAlignment="1">
      <alignment horizontal="left" wrapText="1"/>
    </xf>
    <xf numFmtId="0" fontId="4" fillId="0" borderId="3" xfId="0" applyFont="1" applyBorder="1" applyAlignment="1">
      <alignment horizontal="center" vertical="center"/>
    </xf>
    <xf numFmtId="0" fontId="4" fillId="0" borderId="4" xfId="0" applyFont="1" applyBorder="1" applyAlignment="1">
      <alignment horizontal="center" vertical="center"/>
    </xf>
    <xf numFmtId="0" fontId="4" fillId="0" borderId="5" xfId="0" applyFont="1" applyBorder="1" applyAlignment="1">
      <alignment horizontal="center" vertical="center"/>
    </xf>
    <xf numFmtId="0" fontId="4" fillId="0" borderId="6" xfId="0" applyFont="1" applyBorder="1" applyAlignment="1">
      <alignment horizontal="center" vertical="center"/>
    </xf>
    <xf numFmtId="0" fontId="4" fillId="0" borderId="7" xfId="0" applyFont="1" applyBorder="1" applyAlignment="1">
      <alignment horizontal="center" vertical="center"/>
    </xf>
    <xf numFmtId="0" fontId="4" fillId="0" borderId="8" xfId="0" applyFont="1" applyBorder="1" applyAlignment="1">
      <alignment horizontal="center" vertical="center"/>
    </xf>
    <xf numFmtId="0" fontId="8" fillId="0" borderId="0" xfId="0" applyFont="1" applyAlignment="1">
      <alignment horizontal="left" wrapText="1"/>
    </xf>
    <xf numFmtId="0" fontId="8" fillId="0" borderId="0" xfId="0" applyFont="1" applyAlignment="1">
      <alignment horizontal="left"/>
    </xf>
    <xf numFmtId="0" fontId="9" fillId="0" borderId="0" xfId="0" applyFont="1" applyAlignment="1">
      <alignment horizontal="left"/>
    </xf>
    <xf numFmtId="0" fontId="10" fillId="0" borderId="1" xfId="0" applyFont="1" applyBorder="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84C3BF-C135-3747-86FC-D0A8D95C8A7C}">
  <sheetPr codeName="Sheet2"/>
  <dimension ref="A1:R60"/>
  <sheetViews>
    <sheetView tabSelected="1" zoomScale="130" zoomScaleNormal="130" workbookViewId="0">
      <selection activeCell="A48" sqref="A48"/>
    </sheetView>
  </sheetViews>
  <sheetFormatPr baseColWidth="10" defaultColWidth="11.5" defaultRowHeight="13" x14ac:dyDescent="0.15"/>
  <cols>
    <col min="1" max="1" width="16.1640625" bestFit="1" customWidth="1"/>
    <col min="2" max="2" width="9.5" bestFit="1" customWidth="1"/>
    <col min="3" max="3" width="22.33203125" bestFit="1" customWidth="1"/>
    <col min="4" max="4" width="13" bestFit="1" customWidth="1"/>
    <col min="5" max="5" width="10.83203125" bestFit="1" customWidth="1"/>
    <col min="6" max="6" width="9.5" customWidth="1"/>
    <col min="7" max="7" width="11.83203125" bestFit="1" customWidth="1"/>
    <col min="8" max="8" width="14.83203125" bestFit="1" customWidth="1"/>
    <col min="9" max="9" width="18.5" hidden="1" customWidth="1"/>
    <col min="10" max="10" width="12.6640625" bestFit="1" customWidth="1"/>
  </cols>
  <sheetData>
    <row r="1" spans="1:18" ht="16" x14ac:dyDescent="0.2">
      <c r="A1" s="6" t="s">
        <v>82</v>
      </c>
      <c r="B1" s="6" t="s">
        <v>112</v>
      </c>
      <c r="C1" s="15" t="s">
        <v>1</v>
      </c>
      <c r="D1" s="16"/>
      <c r="E1" s="6" t="s">
        <v>115</v>
      </c>
      <c r="F1" s="6" t="s">
        <v>104</v>
      </c>
      <c r="G1" s="6" t="s">
        <v>110</v>
      </c>
      <c r="H1" s="6" t="s">
        <v>108</v>
      </c>
      <c r="I1" s="6"/>
      <c r="J1" s="6" t="s">
        <v>106</v>
      </c>
      <c r="K1" s="14"/>
    </row>
    <row r="2" spans="1:18" ht="16" x14ac:dyDescent="0.2">
      <c r="A2" s="6" t="s">
        <v>114</v>
      </c>
      <c r="B2" s="6" t="s">
        <v>113</v>
      </c>
      <c r="C2" s="6" t="s">
        <v>86</v>
      </c>
      <c r="D2" s="6" t="s">
        <v>87</v>
      </c>
      <c r="E2" s="6" t="s">
        <v>116</v>
      </c>
      <c r="F2" s="6" t="s">
        <v>105</v>
      </c>
      <c r="G2" s="6" t="s">
        <v>111</v>
      </c>
      <c r="H2" s="6" t="s">
        <v>109</v>
      </c>
      <c r="I2" s="6"/>
      <c r="J2" s="6" t="s">
        <v>107</v>
      </c>
      <c r="K2" s="14"/>
    </row>
    <row r="3" spans="1:18" x14ac:dyDescent="0.15">
      <c r="A3" s="1"/>
      <c r="B3" s="1" t="s">
        <v>3</v>
      </c>
      <c r="C3" s="1" t="s">
        <v>4</v>
      </c>
      <c r="D3" s="1"/>
      <c r="E3" s="1" t="s">
        <v>5</v>
      </c>
      <c r="F3" s="1"/>
      <c r="G3" s="1"/>
      <c r="H3" s="1"/>
      <c r="I3" s="1"/>
      <c r="J3" s="1"/>
      <c r="K3" s="14"/>
    </row>
    <row r="4" spans="1:18" x14ac:dyDescent="0.15">
      <c r="A4" s="1" cm="1">
        <f t="array" ref="A4">AddOneIfNoZero(F4,A4) * F4</f>
        <v>0</v>
      </c>
      <c r="B4" s="1" t="s">
        <v>6</v>
      </c>
      <c r="C4" s="1" t="s">
        <v>7</v>
      </c>
      <c r="D4" s="1"/>
      <c r="E4" s="1" t="s">
        <v>5</v>
      </c>
      <c r="F4" s="1">
        <v>0</v>
      </c>
      <c r="G4" s="1">
        <v>47</v>
      </c>
      <c r="H4" s="1">
        <v>47</v>
      </c>
      <c r="I4" s="1">
        <f>H4*F4</f>
        <v>0</v>
      </c>
      <c r="J4" s="1" cm="1">
        <f t="array" ref="J4">AddResistor(I4)</f>
        <v>0</v>
      </c>
      <c r="K4" s="14"/>
    </row>
    <row r="5" spans="1:18" x14ac:dyDescent="0.15">
      <c r="A5" s="1" cm="1">
        <f t="array" ref="A5">(AddOneIfNoZero(F5,A5) + 1) * F5</f>
        <v>0</v>
      </c>
      <c r="B5" s="1" t="s">
        <v>8</v>
      </c>
      <c r="C5" s="1" t="s">
        <v>7</v>
      </c>
      <c r="D5" s="1"/>
      <c r="E5" s="1" t="s">
        <v>5</v>
      </c>
      <c r="F5" s="1">
        <v>0</v>
      </c>
      <c r="G5" s="1">
        <v>10</v>
      </c>
      <c r="H5" s="1">
        <v>57</v>
      </c>
      <c r="I5" s="1">
        <f t="shared" ref="I5:I44" si="0">H5*F5</f>
        <v>0</v>
      </c>
      <c r="J5" s="1" cm="1">
        <f t="array" ref="J5">AddResistor(I5)</f>
        <v>0</v>
      </c>
    </row>
    <row r="6" spans="1:18" s="1" customFormat="1" x14ac:dyDescent="0.15">
      <c r="A6" s="1" cm="1">
        <f t="array" ref="A6">(AddOneIfNoZero(F6,A6) + 1) * F6</f>
        <v>0</v>
      </c>
      <c r="B6" s="1" t="s">
        <v>9</v>
      </c>
      <c r="C6" s="1" t="s">
        <v>10</v>
      </c>
      <c r="D6" s="1" t="s">
        <v>98</v>
      </c>
      <c r="E6" s="1" t="s">
        <v>5</v>
      </c>
      <c r="F6" s="1">
        <v>0</v>
      </c>
      <c r="G6" s="1">
        <v>10</v>
      </c>
      <c r="H6" s="1">
        <v>67</v>
      </c>
      <c r="I6" s="1">
        <f t="shared" si="0"/>
        <v>0</v>
      </c>
      <c r="J6" s="1" cm="1">
        <f t="array" ref="J6">AddResistor(I6)</f>
        <v>0</v>
      </c>
      <c r="K6"/>
      <c r="L6"/>
      <c r="M6"/>
      <c r="N6"/>
      <c r="O6"/>
      <c r="P6"/>
      <c r="Q6"/>
      <c r="R6"/>
    </row>
    <row r="7" spans="1:18" x14ac:dyDescent="0.15">
      <c r="A7" s="1" cm="1">
        <f t="array" ref="A7">(AddOneIfNoZero(F7,A7) + 1) * F7</f>
        <v>0</v>
      </c>
      <c r="B7" s="1" t="s">
        <v>11</v>
      </c>
      <c r="C7" s="1" t="s">
        <v>10</v>
      </c>
      <c r="D7" s="1"/>
      <c r="E7" s="1" t="s">
        <v>5</v>
      </c>
      <c r="F7" s="1">
        <v>0</v>
      </c>
      <c r="G7" s="1">
        <v>10</v>
      </c>
      <c r="H7" s="1">
        <v>77</v>
      </c>
      <c r="I7" s="1">
        <f t="shared" si="0"/>
        <v>0</v>
      </c>
      <c r="J7" s="1" cm="1">
        <f t="array" ref="J7">AddResistor(I7)</f>
        <v>0</v>
      </c>
    </row>
    <row r="8" spans="1:18" x14ac:dyDescent="0.15">
      <c r="A8" s="1" cm="1">
        <f t="array" ref="A8">(AddOneIfNoZero(F8,A8) + 1) * F8</f>
        <v>0</v>
      </c>
      <c r="B8" s="1" t="s">
        <v>12</v>
      </c>
      <c r="C8" s="1" t="s">
        <v>13</v>
      </c>
      <c r="D8" s="1"/>
      <c r="E8" s="1" t="s">
        <v>5</v>
      </c>
      <c r="F8" s="1">
        <v>0</v>
      </c>
      <c r="G8" s="1">
        <v>10</v>
      </c>
      <c r="H8" s="1">
        <v>87</v>
      </c>
      <c r="I8" s="1">
        <f t="shared" si="0"/>
        <v>0</v>
      </c>
      <c r="J8" s="1" cm="1">
        <f t="array" ref="J8">AddResistor(I8)</f>
        <v>0</v>
      </c>
    </row>
    <row r="9" spans="1:18" x14ac:dyDescent="0.15">
      <c r="A9" s="1" cm="1">
        <f t="array" ref="A9">(AddOneIfNoZero(F9,A9) + 1) * F9</f>
        <v>0</v>
      </c>
      <c r="B9" s="1" t="s">
        <v>14</v>
      </c>
      <c r="C9" s="1" t="s">
        <v>13</v>
      </c>
      <c r="D9" s="1"/>
      <c r="E9" s="1" t="s">
        <v>5</v>
      </c>
      <c r="F9" s="1">
        <v>0</v>
      </c>
      <c r="G9" s="1">
        <v>10</v>
      </c>
      <c r="H9" s="1">
        <v>97</v>
      </c>
      <c r="I9" s="1">
        <f t="shared" si="0"/>
        <v>0</v>
      </c>
      <c r="J9" s="1" cm="1">
        <f t="array" ref="J9">AddResistor(I9)</f>
        <v>0</v>
      </c>
    </row>
    <row r="10" spans="1:18" x14ac:dyDescent="0.15">
      <c r="A10" s="1" cm="1">
        <f t="array" ref="A10">(AddOneIfNoZero(F10,A10) + 1) * F10</f>
        <v>0</v>
      </c>
      <c r="B10" s="1" t="s">
        <v>15</v>
      </c>
      <c r="C10" s="1" t="s">
        <v>16</v>
      </c>
      <c r="D10" s="1"/>
      <c r="E10" s="1" t="s">
        <v>5</v>
      </c>
      <c r="F10" s="1">
        <v>0</v>
      </c>
      <c r="G10" s="1">
        <v>10</v>
      </c>
      <c r="H10" s="1">
        <v>107</v>
      </c>
      <c r="I10" s="1">
        <f t="shared" si="0"/>
        <v>0</v>
      </c>
      <c r="J10" s="1" cm="1">
        <f t="array" ref="J10">AddResistor(I10)</f>
        <v>0</v>
      </c>
    </row>
    <row r="11" spans="1:18" x14ac:dyDescent="0.15">
      <c r="A11" s="1" cm="1">
        <f t="array" ref="A11">(AddOneIfNoZero(F11,A11) + 1) * F11</f>
        <v>0</v>
      </c>
      <c r="B11" s="1" t="s">
        <v>17</v>
      </c>
      <c r="C11" s="1" t="s">
        <v>16</v>
      </c>
      <c r="D11" s="1"/>
      <c r="E11" s="1" t="s">
        <v>5</v>
      </c>
      <c r="F11" s="1">
        <v>0</v>
      </c>
      <c r="G11" s="1">
        <v>10</v>
      </c>
      <c r="H11" s="1">
        <v>117</v>
      </c>
      <c r="I11" s="1">
        <f t="shared" si="0"/>
        <v>0</v>
      </c>
      <c r="J11" s="1" cm="1">
        <f t="array" ref="J11">AddResistor(I11)</f>
        <v>0</v>
      </c>
    </row>
    <row r="12" spans="1:18" x14ac:dyDescent="0.15">
      <c r="A12" s="1" cm="1">
        <f t="array" ref="A12">(AddOneIfNoZero(F12,A12) + 1) * F12</f>
        <v>0</v>
      </c>
      <c r="B12" s="1" t="s">
        <v>18</v>
      </c>
      <c r="C12" s="1" t="s">
        <v>19</v>
      </c>
      <c r="D12" s="1"/>
      <c r="E12" s="1" t="s">
        <v>5</v>
      </c>
      <c r="F12" s="1">
        <v>0</v>
      </c>
      <c r="G12" s="1">
        <v>10</v>
      </c>
      <c r="H12" s="1">
        <v>127</v>
      </c>
      <c r="I12" s="1">
        <f t="shared" si="0"/>
        <v>0</v>
      </c>
      <c r="J12" s="1" cm="1">
        <f t="array" ref="J12">AddResistor(I12)</f>
        <v>0</v>
      </c>
    </row>
    <row r="13" spans="1:18" x14ac:dyDescent="0.15">
      <c r="A13" s="1" cm="1">
        <f t="array" ref="A13">(AddOneIfNoZero(F13,A13) + 1) * F13</f>
        <v>0</v>
      </c>
      <c r="B13" s="1" t="s">
        <v>20</v>
      </c>
      <c r="C13" s="1" t="s">
        <v>19</v>
      </c>
      <c r="D13" s="1"/>
      <c r="E13" s="1" t="s">
        <v>5</v>
      </c>
      <c r="F13" s="1">
        <v>0</v>
      </c>
      <c r="G13" s="1">
        <v>10</v>
      </c>
      <c r="H13" s="1">
        <v>137</v>
      </c>
      <c r="I13" s="1">
        <f t="shared" si="0"/>
        <v>0</v>
      </c>
      <c r="J13" s="1" cm="1">
        <f t="array" ref="J13">AddResistor(I13)</f>
        <v>0</v>
      </c>
    </row>
    <row r="14" spans="1:18" x14ac:dyDescent="0.15">
      <c r="A14" s="1" cm="1">
        <f t="array" ref="A14">(AddOneIfNoZero(F14,A14) + 1) * F14</f>
        <v>0</v>
      </c>
      <c r="B14" s="1" t="s">
        <v>21</v>
      </c>
      <c r="C14" s="1" t="s">
        <v>22</v>
      </c>
      <c r="D14" s="1"/>
      <c r="E14" s="1" t="s">
        <v>5</v>
      </c>
      <c r="F14" s="1">
        <v>0</v>
      </c>
      <c r="G14" s="1">
        <v>10</v>
      </c>
      <c r="H14" s="1">
        <v>147</v>
      </c>
      <c r="I14" s="1">
        <f t="shared" si="0"/>
        <v>0</v>
      </c>
      <c r="J14" s="1" cm="1">
        <f t="array" ref="J14">AddResistor(I14)</f>
        <v>0</v>
      </c>
    </row>
    <row r="15" spans="1:18" x14ac:dyDescent="0.15">
      <c r="A15" s="1" cm="1">
        <f t="array" ref="A15">(AddOneIfNoZero(F15,A15) + 1) * F15</f>
        <v>0</v>
      </c>
      <c r="B15" s="1" t="s">
        <v>23</v>
      </c>
      <c r="C15" s="1" t="s">
        <v>22</v>
      </c>
      <c r="D15" s="1"/>
      <c r="E15" s="1" t="s">
        <v>5</v>
      </c>
      <c r="F15" s="1">
        <v>0</v>
      </c>
      <c r="G15" s="1">
        <v>10</v>
      </c>
      <c r="H15" s="1">
        <v>157</v>
      </c>
      <c r="I15" s="1">
        <f t="shared" si="0"/>
        <v>0</v>
      </c>
      <c r="J15" s="1" cm="1">
        <f t="array" ref="J15">AddResistor(I15)</f>
        <v>0</v>
      </c>
    </row>
    <row r="16" spans="1:18" x14ac:dyDescent="0.15">
      <c r="A16" s="1" cm="1">
        <f t="array" ref="A16">(AddOneIfNoZero(F16,A16) + 1) * F16</f>
        <v>0</v>
      </c>
      <c r="B16" s="1" t="s">
        <v>24</v>
      </c>
      <c r="C16" s="1" t="s">
        <v>25</v>
      </c>
      <c r="D16" s="1"/>
      <c r="E16" s="1" t="s">
        <v>5</v>
      </c>
      <c r="F16" s="1">
        <v>0</v>
      </c>
      <c r="G16" s="1">
        <v>10</v>
      </c>
      <c r="H16" s="1">
        <v>167</v>
      </c>
      <c r="I16" s="1">
        <f t="shared" si="0"/>
        <v>0</v>
      </c>
      <c r="J16" s="1" cm="1">
        <f t="array" ref="J16">AddResistor(I16)</f>
        <v>0</v>
      </c>
    </row>
    <row r="17" spans="1:10" x14ac:dyDescent="0.15">
      <c r="A17" s="1" cm="1">
        <f t="array" ref="A17">(AddOneIfNoZero(F17,A17) + 1) * F17</f>
        <v>0</v>
      </c>
      <c r="B17" s="1" t="s">
        <v>26</v>
      </c>
      <c r="C17" s="1" t="s">
        <v>25</v>
      </c>
      <c r="D17" s="1"/>
      <c r="E17" s="1" t="s">
        <v>5</v>
      </c>
      <c r="F17" s="1">
        <v>0</v>
      </c>
      <c r="G17" s="1">
        <v>10</v>
      </c>
      <c r="H17" s="1">
        <v>177</v>
      </c>
      <c r="I17" s="1">
        <f t="shared" si="0"/>
        <v>0</v>
      </c>
      <c r="J17" s="1" cm="1">
        <f t="array" ref="J17">AddResistor(I17)</f>
        <v>0</v>
      </c>
    </row>
    <row r="18" spans="1:10" x14ac:dyDescent="0.15">
      <c r="A18" s="1" cm="1">
        <f t="array" ref="A18">(AddOneIfNoZero(F18,A18) + 1) * F18</f>
        <v>0</v>
      </c>
      <c r="B18" s="1" t="s">
        <v>27</v>
      </c>
      <c r="C18" s="1" t="s">
        <v>28</v>
      </c>
      <c r="D18" s="1"/>
      <c r="E18" s="1" t="s">
        <v>5</v>
      </c>
      <c r="F18" s="1">
        <v>0</v>
      </c>
      <c r="G18" s="1">
        <v>10</v>
      </c>
      <c r="H18" s="1">
        <v>187</v>
      </c>
      <c r="I18" s="1">
        <f t="shared" si="0"/>
        <v>0</v>
      </c>
      <c r="J18" s="1" cm="1">
        <f t="array" ref="J18">AddResistor(I18)</f>
        <v>0</v>
      </c>
    </row>
    <row r="19" spans="1:10" x14ac:dyDescent="0.15">
      <c r="A19" s="1" cm="1">
        <f t="array" ref="A19">(AddOneIfNoZero(F19,A19) + 1) * F19</f>
        <v>0</v>
      </c>
      <c r="B19" s="1" t="s">
        <v>29</v>
      </c>
      <c r="C19" s="1" t="s">
        <v>28</v>
      </c>
      <c r="D19" s="1"/>
      <c r="E19" s="1" t="s">
        <v>5</v>
      </c>
      <c r="F19" s="1">
        <v>0</v>
      </c>
      <c r="G19" s="1">
        <v>10</v>
      </c>
      <c r="H19" s="1">
        <v>197</v>
      </c>
      <c r="I19" s="1">
        <f t="shared" si="0"/>
        <v>0</v>
      </c>
      <c r="J19" s="1" cm="1">
        <f t="array" ref="J19">AddResistor(I19)</f>
        <v>0</v>
      </c>
    </row>
    <row r="20" spans="1:10" x14ac:dyDescent="0.15">
      <c r="A20" s="1" cm="1">
        <f t="array" ref="A20">(AddOneIfNoZero(F20,A20) + 1) * F20</f>
        <v>0</v>
      </c>
      <c r="B20" s="1" t="s">
        <v>30</v>
      </c>
      <c r="C20" s="1" t="s">
        <v>31</v>
      </c>
      <c r="D20" s="1"/>
      <c r="E20" s="1" t="s">
        <v>5</v>
      </c>
      <c r="F20" s="1">
        <v>0</v>
      </c>
      <c r="G20" s="1">
        <v>10</v>
      </c>
      <c r="H20" s="1">
        <v>207</v>
      </c>
      <c r="I20" s="1">
        <f t="shared" si="0"/>
        <v>0</v>
      </c>
      <c r="J20" s="1" cm="1">
        <f t="array" ref="J20">AddResistor(I20)</f>
        <v>0</v>
      </c>
    </row>
    <row r="21" spans="1:10" x14ac:dyDescent="0.15">
      <c r="A21" s="1" cm="1">
        <f t="array" ref="A21">(AddOneIfNoZero(F21,A21) + 1) * F21</f>
        <v>1</v>
      </c>
      <c r="B21" s="1" t="s">
        <v>32</v>
      </c>
      <c r="C21" s="1" t="s">
        <v>31</v>
      </c>
      <c r="D21" s="1"/>
      <c r="E21" s="1" t="s">
        <v>5</v>
      </c>
      <c r="F21" s="1">
        <v>1</v>
      </c>
      <c r="G21" s="1">
        <v>10</v>
      </c>
      <c r="H21" s="1">
        <v>217</v>
      </c>
      <c r="I21" s="1">
        <f t="shared" si="0"/>
        <v>217</v>
      </c>
      <c r="J21" s="1" cm="1">
        <f t="array" ref="J21">AddResistor(I21)</f>
        <v>217</v>
      </c>
    </row>
    <row r="22" spans="1:10" x14ac:dyDescent="0.15">
      <c r="A22" s="1" cm="1">
        <f t="array" ref="A22">(AddOneIfNoZero(F22,A22) + 1) * F22</f>
        <v>0</v>
      </c>
      <c r="B22" s="1" t="s">
        <v>33</v>
      </c>
      <c r="C22" s="1" t="s">
        <v>34</v>
      </c>
      <c r="D22" s="1"/>
      <c r="E22" s="1" t="s">
        <v>35</v>
      </c>
      <c r="F22" s="1">
        <v>0</v>
      </c>
      <c r="G22" s="1">
        <v>10</v>
      </c>
      <c r="H22" s="1">
        <v>227</v>
      </c>
      <c r="I22" s="1">
        <f t="shared" si="0"/>
        <v>0</v>
      </c>
      <c r="J22" s="1" cm="1">
        <f t="array" ref="J22">AddResistor(I22)</f>
        <v>0</v>
      </c>
    </row>
    <row r="23" spans="1:10" x14ac:dyDescent="0.15">
      <c r="A23" s="1" cm="1">
        <f t="array" ref="A23">(AddOneIfNoZero(F23,A23) + 1) * F23</f>
        <v>0</v>
      </c>
      <c r="B23" s="1" t="s">
        <v>36</v>
      </c>
      <c r="C23" s="1" t="s">
        <v>37</v>
      </c>
      <c r="D23" s="1"/>
      <c r="E23" s="1" t="s">
        <v>38</v>
      </c>
      <c r="F23" s="1">
        <v>0</v>
      </c>
      <c r="G23" s="1">
        <v>10</v>
      </c>
      <c r="H23" s="1">
        <v>237</v>
      </c>
      <c r="I23" s="1">
        <f t="shared" si="0"/>
        <v>0</v>
      </c>
      <c r="J23" s="1" cm="1">
        <f t="array" ref="J23">AddResistor(I23)</f>
        <v>0</v>
      </c>
    </row>
    <row r="24" spans="1:10" x14ac:dyDescent="0.15">
      <c r="A24" s="1" cm="1">
        <f t="array" ref="A24">(AddOneIfNoZero(F24,A24) + 1) * F24</f>
        <v>0</v>
      </c>
      <c r="B24" s="1" t="s">
        <v>39</v>
      </c>
      <c r="C24" s="1" t="s">
        <v>40</v>
      </c>
      <c r="D24" s="1" t="s">
        <v>98</v>
      </c>
      <c r="E24" s="1" t="s">
        <v>38</v>
      </c>
      <c r="F24" s="1">
        <v>0</v>
      </c>
      <c r="G24" s="1">
        <v>10</v>
      </c>
      <c r="H24" s="1">
        <v>247</v>
      </c>
      <c r="I24" s="1">
        <f t="shared" si="0"/>
        <v>0</v>
      </c>
      <c r="J24" s="1" cm="1">
        <f t="array" ref="J24">AddResistor(I24)</f>
        <v>0</v>
      </c>
    </row>
    <row r="25" spans="1:10" x14ac:dyDescent="0.15">
      <c r="A25" s="1" cm="1">
        <f t="array" ref="A25">(AddOneIfNoZero(F25,A25) + 1) * F25</f>
        <v>0</v>
      </c>
      <c r="B25" s="1" t="s">
        <v>41</v>
      </c>
      <c r="C25" s="33" t="s">
        <v>42</v>
      </c>
      <c r="D25" s="1"/>
      <c r="E25" s="1" t="s">
        <v>43</v>
      </c>
      <c r="F25" s="1">
        <v>0</v>
      </c>
      <c r="G25" s="1">
        <v>10</v>
      </c>
      <c r="H25" s="1">
        <v>257</v>
      </c>
      <c r="I25" s="1">
        <f t="shared" si="0"/>
        <v>0</v>
      </c>
      <c r="J25" s="1" cm="1">
        <f t="array" ref="J25">AddResistor(I25)</f>
        <v>0</v>
      </c>
    </row>
    <row r="26" spans="1:10" x14ac:dyDescent="0.15">
      <c r="A26" s="1" cm="1">
        <f t="array" ref="A26">(AddOneIfNoZero(F26,A26) + 1) * F26</f>
        <v>2</v>
      </c>
      <c r="B26" s="1" t="s">
        <v>44</v>
      </c>
      <c r="C26" s="1" t="s">
        <v>45</v>
      </c>
      <c r="D26" s="1"/>
      <c r="E26" s="1" t="s">
        <v>35</v>
      </c>
      <c r="F26" s="1">
        <v>1</v>
      </c>
      <c r="G26" s="1">
        <v>10</v>
      </c>
      <c r="H26" s="1">
        <v>267</v>
      </c>
      <c r="I26" s="1">
        <f t="shared" si="0"/>
        <v>267</v>
      </c>
      <c r="J26" s="1" cm="1">
        <f t="array" ref="J26">AddResistor(I26)</f>
        <v>50</v>
      </c>
    </row>
    <row r="27" spans="1:10" x14ac:dyDescent="0.15">
      <c r="A27" s="1" cm="1">
        <f t="array" ref="A27">(AddOneIfNoZero(F27,A27) + 1) * F27</f>
        <v>3</v>
      </c>
      <c r="B27" s="1" t="s">
        <v>119</v>
      </c>
      <c r="C27" s="1" t="s">
        <v>48</v>
      </c>
      <c r="D27" s="1" t="s">
        <v>88</v>
      </c>
      <c r="E27" s="1" t="s">
        <v>46</v>
      </c>
      <c r="F27" s="1">
        <v>1</v>
      </c>
      <c r="G27" s="1">
        <v>10</v>
      </c>
      <c r="H27" s="1">
        <v>277</v>
      </c>
      <c r="I27" s="1">
        <f t="shared" si="0"/>
        <v>277</v>
      </c>
      <c r="J27" s="1" cm="1">
        <f t="array" ref="J27">AddResistor(I27)</f>
        <v>10</v>
      </c>
    </row>
    <row r="28" spans="1:10" x14ac:dyDescent="0.15">
      <c r="A28" s="1" cm="1">
        <f t="array" ref="A28">(AddOneIfNoZero(F28,A28) + 1) * F28</f>
        <v>0</v>
      </c>
      <c r="B28" s="1" t="s">
        <v>120</v>
      </c>
      <c r="C28" s="1" t="s">
        <v>50</v>
      </c>
      <c r="D28" s="1"/>
      <c r="E28" s="1" t="s">
        <v>46</v>
      </c>
      <c r="F28" s="1">
        <v>0</v>
      </c>
      <c r="G28" s="1">
        <v>10</v>
      </c>
      <c r="H28" s="1">
        <v>287</v>
      </c>
      <c r="I28" s="1">
        <f t="shared" si="0"/>
        <v>0</v>
      </c>
      <c r="J28" s="1" cm="1">
        <f t="array" ref="J28">AddResistor(I28)</f>
        <v>0</v>
      </c>
    </row>
    <row r="29" spans="1:10" x14ac:dyDescent="0.15">
      <c r="A29" s="1" cm="1">
        <f t="array" ref="A29">(AddOneIfNoZero(F29,A29) + 1) * F29</f>
        <v>0</v>
      </c>
      <c r="B29" s="1" t="s">
        <v>121</v>
      </c>
      <c r="C29" s="1" t="s">
        <v>52</v>
      </c>
      <c r="D29" s="1"/>
      <c r="E29" s="1" t="s">
        <v>46</v>
      </c>
      <c r="F29" s="1">
        <v>0</v>
      </c>
      <c r="G29" s="1">
        <v>10</v>
      </c>
      <c r="H29" s="1">
        <v>297</v>
      </c>
      <c r="I29" s="1">
        <f t="shared" si="0"/>
        <v>0</v>
      </c>
      <c r="J29" s="1" cm="1">
        <f t="array" ref="J29">AddResistor(I29)</f>
        <v>0</v>
      </c>
    </row>
    <row r="30" spans="1:10" x14ac:dyDescent="0.15">
      <c r="A30" s="1" cm="1">
        <f t="array" ref="A30">(AddOneIfNoZero(F30,A30) + 1) * F30</f>
        <v>4</v>
      </c>
      <c r="B30" s="1" t="s">
        <v>122</v>
      </c>
      <c r="C30" s="1" t="s">
        <v>54</v>
      </c>
      <c r="D30" s="1" t="s">
        <v>89</v>
      </c>
      <c r="E30" s="1" t="s">
        <v>46</v>
      </c>
      <c r="F30" s="1">
        <v>1</v>
      </c>
      <c r="G30" s="1">
        <v>10</v>
      </c>
      <c r="H30" s="1">
        <v>307</v>
      </c>
      <c r="I30" s="1">
        <f t="shared" si="0"/>
        <v>307</v>
      </c>
      <c r="J30" s="1" cm="1">
        <f t="array" ref="J30">AddResistor(I30)</f>
        <v>30</v>
      </c>
    </row>
    <row r="31" spans="1:10" x14ac:dyDescent="0.15">
      <c r="A31" s="1" cm="1">
        <f t="array" ref="A31">(AddOneIfNoZero(F31,A31) + 1) * F31</f>
        <v>0</v>
      </c>
      <c r="B31" s="1" t="s">
        <v>123</v>
      </c>
      <c r="C31" s="1" t="s">
        <v>56</v>
      </c>
      <c r="D31" s="1"/>
      <c r="E31" s="1" t="s">
        <v>46</v>
      </c>
      <c r="F31" s="1">
        <v>0</v>
      </c>
      <c r="G31" s="1">
        <v>10</v>
      </c>
      <c r="H31" s="1">
        <v>317</v>
      </c>
      <c r="I31" s="1">
        <f t="shared" si="0"/>
        <v>0</v>
      </c>
      <c r="J31" s="1" cm="1">
        <f t="array" ref="J31">AddResistor(I31)</f>
        <v>0</v>
      </c>
    </row>
    <row r="32" spans="1:10" x14ac:dyDescent="0.15">
      <c r="A32" s="1" cm="1">
        <f t="array" ref="A32">(AddOneIfNoZero(F32,A32) + 1) * F32</f>
        <v>0</v>
      </c>
      <c r="B32" s="1" t="s">
        <v>124</v>
      </c>
      <c r="C32" s="1" t="s">
        <v>52</v>
      </c>
      <c r="D32" s="1"/>
      <c r="E32" s="1" t="s">
        <v>46</v>
      </c>
      <c r="F32" s="1">
        <v>0</v>
      </c>
      <c r="G32" s="1">
        <v>10</v>
      </c>
      <c r="H32" s="1">
        <v>327</v>
      </c>
      <c r="I32" s="1">
        <f t="shared" si="0"/>
        <v>0</v>
      </c>
      <c r="J32" s="1" cm="1">
        <f t="array" ref="J32">AddResistor(I32)</f>
        <v>0</v>
      </c>
    </row>
    <row r="33" spans="1:10" x14ac:dyDescent="0.15">
      <c r="A33" s="1" cm="1">
        <f t="array" ref="A33">(AddOneIfNoZero(F33,A33) + 1) * F33</f>
        <v>0</v>
      </c>
      <c r="B33" s="1" t="s">
        <v>125</v>
      </c>
      <c r="C33" s="1" t="s">
        <v>59</v>
      </c>
      <c r="D33" s="1"/>
      <c r="E33" s="1" t="s">
        <v>46</v>
      </c>
      <c r="F33" s="1">
        <v>0</v>
      </c>
      <c r="G33" s="1">
        <v>10</v>
      </c>
      <c r="H33" s="1">
        <v>337</v>
      </c>
      <c r="I33" s="1">
        <f t="shared" si="0"/>
        <v>0</v>
      </c>
      <c r="J33" s="1" cm="1">
        <f t="array" ref="J33">AddResistor(I33)</f>
        <v>0</v>
      </c>
    </row>
    <row r="34" spans="1:10" x14ac:dyDescent="0.15">
      <c r="A34" s="1" cm="1">
        <f t="array" ref="A34">(AddOneIfNoZero(F34,A34) + 1) * F34</f>
        <v>5</v>
      </c>
      <c r="B34" s="1" t="s">
        <v>126</v>
      </c>
      <c r="C34" s="1" t="s">
        <v>61</v>
      </c>
      <c r="D34" s="1" t="s">
        <v>90</v>
      </c>
      <c r="E34" s="1" t="s">
        <v>46</v>
      </c>
      <c r="F34" s="1">
        <v>1</v>
      </c>
      <c r="G34" s="1">
        <v>10</v>
      </c>
      <c r="H34" s="1">
        <v>347</v>
      </c>
      <c r="I34" s="1">
        <f t="shared" si="0"/>
        <v>347</v>
      </c>
      <c r="J34" s="1" cm="1">
        <f t="array" ref="J34">AddResistor(I34)</f>
        <v>40</v>
      </c>
    </row>
    <row r="35" spans="1:10" x14ac:dyDescent="0.15">
      <c r="A35" s="1" cm="1">
        <f t="array" ref="A35">(AddOneIfNoZero(F35,A35) + 1) * F35</f>
        <v>6</v>
      </c>
      <c r="B35" s="1" t="s">
        <v>127</v>
      </c>
      <c r="C35" s="1" t="s">
        <v>63</v>
      </c>
      <c r="D35" s="1" t="s">
        <v>91</v>
      </c>
      <c r="E35" s="1" t="s">
        <v>46</v>
      </c>
      <c r="F35" s="1">
        <v>1</v>
      </c>
      <c r="G35" s="1">
        <v>10</v>
      </c>
      <c r="H35" s="1">
        <v>357</v>
      </c>
      <c r="I35" s="1">
        <f t="shared" si="0"/>
        <v>357</v>
      </c>
      <c r="J35" s="1" cm="1">
        <f t="array" ref="J35">AddResistor(I35)</f>
        <v>10</v>
      </c>
    </row>
    <row r="36" spans="1:10" x14ac:dyDescent="0.15">
      <c r="A36" s="1" cm="1">
        <f t="array" ref="A36">(AddOneIfNoZero(F36,A36) + 1) * F36</f>
        <v>7</v>
      </c>
      <c r="B36" s="1" t="s">
        <v>128</v>
      </c>
      <c r="C36" s="1" t="s">
        <v>65</v>
      </c>
      <c r="D36" s="1" t="s">
        <v>92</v>
      </c>
      <c r="E36" s="1" t="s">
        <v>46</v>
      </c>
      <c r="F36" s="1">
        <v>1</v>
      </c>
      <c r="G36" s="1">
        <v>10</v>
      </c>
      <c r="H36" s="1">
        <v>367</v>
      </c>
      <c r="I36" s="1">
        <f t="shared" si="0"/>
        <v>367</v>
      </c>
      <c r="J36" s="1" cm="1">
        <f t="array" ref="J36">AddResistor(I36)</f>
        <v>10</v>
      </c>
    </row>
    <row r="37" spans="1:10" x14ac:dyDescent="0.15">
      <c r="A37" s="1" cm="1">
        <f t="array" ref="A37">(AddOneIfNoZero(F37,A37) + 1) * F37</f>
        <v>0</v>
      </c>
      <c r="B37" s="1" t="s">
        <v>129</v>
      </c>
      <c r="C37" s="1" t="s">
        <v>67</v>
      </c>
      <c r="D37" s="1"/>
      <c r="E37" s="1" t="s">
        <v>46</v>
      </c>
      <c r="F37" s="1">
        <v>0</v>
      </c>
      <c r="G37" s="1">
        <v>10</v>
      </c>
      <c r="H37" s="1">
        <v>377</v>
      </c>
      <c r="I37" s="1">
        <f t="shared" si="0"/>
        <v>0</v>
      </c>
      <c r="J37" s="1" cm="1">
        <f t="array" ref="J37">AddResistor(I37)</f>
        <v>0</v>
      </c>
    </row>
    <row r="38" spans="1:10" x14ac:dyDescent="0.15">
      <c r="A38" s="1" cm="1">
        <f t="array" ref="A38">(AddOneIfNoZero(F38,A38) + 1) * F38</f>
        <v>8</v>
      </c>
      <c r="B38" s="1" t="s">
        <v>130</v>
      </c>
      <c r="C38" s="1" t="s">
        <v>69</v>
      </c>
      <c r="D38" s="1" t="s">
        <v>93</v>
      </c>
      <c r="E38" s="1" t="s">
        <v>46</v>
      </c>
      <c r="F38" s="1">
        <v>1</v>
      </c>
      <c r="G38" s="1">
        <v>10</v>
      </c>
      <c r="H38" s="1">
        <v>387</v>
      </c>
      <c r="I38" s="1">
        <f t="shared" si="0"/>
        <v>387</v>
      </c>
      <c r="J38" s="1" cm="1">
        <f t="array" ref="J38">AddResistor(I38)</f>
        <v>20</v>
      </c>
    </row>
    <row r="39" spans="1:10" x14ac:dyDescent="0.15">
      <c r="A39" s="1" cm="1">
        <f t="array" ref="A39">(AddOneIfNoZero(F39,A39) + 1) * F39</f>
        <v>9</v>
      </c>
      <c r="B39" s="1" t="s">
        <v>131</v>
      </c>
      <c r="C39" s="1" t="s">
        <v>71</v>
      </c>
      <c r="D39" s="1" t="s">
        <v>94</v>
      </c>
      <c r="E39" s="1" t="s">
        <v>46</v>
      </c>
      <c r="F39" s="1">
        <v>1</v>
      </c>
      <c r="G39" s="1">
        <v>10</v>
      </c>
      <c r="H39" s="1">
        <v>397</v>
      </c>
      <c r="I39" s="1">
        <f t="shared" si="0"/>
        <v>397</v>
      </c>
      <c r="J39" s="1" cm="1">
        <f t="array" ref="J39">AddResistor(I39)</f>
        <v>10</v>
      </c>
    </row>
    <row r="40" spans="1:10" x14ac:dyDescent="0.15">
      <c r="A40" s="1" cm="1">
        <f t="array" ref="A40">(AddOneIfNoZero(F40,A40) + 1) * F40</f>
        <v>10</v>
      </c>
      <c r="B40" s="1" t="s">
        <v>132</v>
      </c>
      <c r="C40" s="1" t="s">
        <v>73</v>
      </c>
      <c r="D40" s="1" t="s">
        <v>95</v>
      </c>
      <c r="E40" s="1" t="s">
        <v>46</v>
      </c>
      <c r="F40" s="1">
        <v>1</v>
      </c>
      <c r="G40" s="1">
        <v>10</v>
      </c>
      <c r="H40" s="1">
        <v>407</v>
      </c>
      <c r="I40" s="1">
        <f t="shared" si="0"/>
        <v>407</v>
      </c>
      <c r="J40" s="1" cm="1">
        <f t="array" ref="J40">AddResistor(I40)</f>
        <v>10</v>
      </c>
    </row>
    <row r="41" spans="1:10" x14ac:dyDescent="0.15">
      <c r="A41" s="1" cm="1">
        <f t="array" ref="A41">(AddOneIfNoZero(F41,A41) + 1) * F41</f>
        <v>0</v>
      </c>
      <c r="B41" s="1" t="s">
        <v>133</v>
      </c>
      <c r="C41" s="1" t="s">
        <v>75</v>
      </c>
      <c r="D41" s="1"/>
      <c r="E41" s="1" t="s">
        <v>46</v>
      </c>
      <c r="F41" s="1">
        <v>0</v>
      </c>
      <c r="G41" s="1">
        <v>10</v>
      </c>
      <c r="H41" s="1">
        <v>417</v>
      </c>
      <c r="I41" s="1">
        <f t="shared" si="0"/>
        <v>0</v>
      </c>
      <c r="J41" s="1" cm="1">
        <f t="array" ref="J41">AddResistor(I41)</f>
        <v>0</v>
      </c>
    </row>
    <row r="42" spans="1:10" x14ac:dyDescent="0.15">
      <c r="A42" s="1" cm="1">
        <f t="array" ref="A42">(AddOneIfNoZero(F42,A42) + 1) * F42</f>
        <v>11</v>
      </c>
      <c r="B42" s="1" t="s">
        <v>134</v>
      </c>
      <c r="C42" s="1" t="s">
        <v>77</v>
      </c>
      <c r="D42" s="1" t="s">
        <v>96</v>
      </c>
      <c r="E42" s="1" t="s">
        <v>46</v>
      </c>
      <c r="F42" s="1">
        <v>1</v>
      </c>
      <c r="G42" s="1">
        <v>10</v>
      </c>
      <c r="H42" s="1">
        <v>427</v>
      </c>
      <c r="I42" s="1">
        <f t="shared" si="0"/>
        <v>427</v>
      </c>
      <c r="J42" s="1" cm="1">
        <f t="array" ref="J42">AddResistor(I42)</f>
        <v>20</v>
      </c>
    </row>
    <row r="43" spans="1:10" x14ac:dyDescent="0.15">
      <c r="A43" s="1" cm="1">
        <f t="array" ref="A43">(AddOneIfNoZero(F43,A43) + 1) * F43</f>
        <v>0</v>
      </c>
      <c r="B43" s="1" t="s">
        <v>135</v>
      </c>
      <c r="C43" s="1" t="s">
        <v>79</v>
      </c>
      <c r="D43" s="1"/>
      <c r="E43" s="1" t="s">
        <v>46</v>
      </c>
      <c r="F43" s="1">
        <v>0</v>
      </c>
      <c r="G43" s="1">
        <v>10</v>
      </c>
      <c r="H43" s="1">
        <v>437</v>
      </c>
      <c r="I43" s="1">
        <f t="shared" si="0"/>
        <v>0</v>
      </c>
      <c r="J43" s="1" cm="1">
        <f t="array" ref="J43">AddResistor(I43)</f>
        <v>0</v>
      </c>
    </row>
    <row r="44" spans="1:10" x14ac:dyDescent="0.15">
      <c r="A44" s="1" cm="1">
        <f t="array" ref="A44">(AddOneIfNoZero(F44,A44) + 1) * F44</f>
        <v>12</v>
      </c>
      <c r="B44" s="1" t="s">
        <v>136</v>
      </c>
      <c r="C44" s="1" t="s">
        <v>81</v>
      </c>
      <c r="D44" s="1" t="s">
        <v>97</v>
      </c>
      <c r="E44" s="1" t="s">
        <v>46</v>
      </c>
      <c r="F44" s="1">
        <v>1</v>
      </c>
      <c r="G44" s="1">
        <v>10</v>
      </c>
      <c r="H44" s="1">
        <v>447</v>
      </c>
      <c r="I44" s="1">
        <f t="shared" si="0"/>
        <v>447</v>
      </c>
      <c r="J44" s="1" cm="1">
        <f t="array" ref="J44">AddResistor(I44)</f>
        <v>20</v>
      </c>
    </row>
    <row r="45" spans="1:10" x14ac:dyDescent="0.15">
      <c r="A45" s="1" t="s">
        <v>83</v>
      </c>
      <c r="B45" s="1"/>
      <c r="C45" s="1"/>
      <c r="D45" s="1"/>
      <c r="E45" s="1"/>
      <c r="F45" s="1"/>
      <c r="G45" s="1">
        <v>53</v>
      </c>
      <c r="H45" s="1">
        <v>0</v>
      </c>
      <c r="I45" s="1"/>
      <c r="J45" s="1">
        <f>500 - SUM(J4:J44)</f>
        <v>53</v>
      </c>
    </row>
    <row r="46" spans="1:10" x14ac:dyDescent="0.15">
      <c r="A46" s="1"/>
      <c r="B46" s="1"/>
      <c r="C46" s="1"/>
      <c r="D46" s="1"/>
      <c r="E46" s="1"/>
      <c r="F46" s="1"/>
      <c r="G46" s="1">
        <f>SUM(G4:G45)</f>
        <v>500</v>
      </c>
      <c r="H46" s="1">
        <v>500</v>
      </c>
      <c r="I46" s="1"/>
      <c r="J46" s="1">
        <f>SUM(J4:J45)</f>
        <v>500</v>
      </c>
    </row>
    <row r="49" spans="1:12" x14ac:dyDescent="0.15">
      <c r="A49" s="30" t="s">
        <v>117</v>
      </c>
      <c r="B49" s="31"/>
      <c r="C49" s="31"/>
      <c r="D49" s="31"/>
      <c r="E49" s="31"/>
      <c r="F49" s="31"/>
      <c r="G49" s="31"/>
      <c r="H49" s="31"/>
      <c r="I49" s="31"/>
      <c r="J49" s="31"/>
    </row>
    <row r="50" spans="1:12" x14ac:dyDescent="0.15">
      <c r="A50" s="31"/>
      <c r="B50" s="31"/>
      <c r="C50" s="31"/>
      <c r="D50" s="31"/>
      <c r="E50" s="31"/>
      <c r="F50" s="31"/>
      <c r="G50" s="31"/>
      <c r="H50" s="31"/>
      <c r="I50" s="31"/>
      <c r="J50" s="31"/>
    </row>
    <row r="51" spans="1:12" x14ac:dyDescent="0.15">
      <c r="A51" s="31"/>
      <c r="B51" s="31"/>
      <c r="C51" s="31"/>
      <c r="D51" s="31"/>
      <c r="E51" s="31"/>
      <c r="F51" s="31"/>
      <c r="G51" s="31"/>
      <c r="H51" s="31"/>
      <c r="I51" s="31"/>
      <c r="J51" s="31"/>
    </row>
    <row r="52" spans="1:12" x14ac:dyDescent="0.15">
      <c r="A52" s="31"/>
      <c r="B52" s="31"/>
      <c r="C52" s="31"/>
      <c r="D52" s="31"/>
      <c r="E52" s="31"/>
      <c r="F52" s="31"/>
      <c r="G52" s="31"/>
      <c r="H52" s="31"/>
      <c r="I52" s="31"/>
      <c r="J52" s="31"/>
    </row>
    <row r="53" spans="1:12" x14ac:dyDescent="0.15">
      <c r="A53" s="31"/>
      <c r="B53" s="31"/>
      <c r="C53" s="31"/>
      <c r="D53" s="31"/>
      <c r="E53" s="31"/>
      <c r="F53" s="31"/>
      <c r="G53" s="31"/>
      <c r="H53" s="31"/>
      <c r="I53" s="31"/>
      <c r="J53" s="31"/>
    </row>
    <row r="54" spans="1:12" x14ac:dyDescent="0.15">
      <c r="A54" s="31"/>
      <c r="B54" s="31"/>
      <c r="C54" s="31"/>
      <c r="D54" s="31"/>
      <c r="E54" s="31"/>
      <c r="F54" s="31"/>
      <c r="G54" s="31"/>
      <c r="H54" s="31"/>
      <c r="I54" s="31"/>
      <c r="J54" s="31"/>
    </row>
    <row r="55" spans="1:12" x14ac:dyDescent="0.15">
      <c r="A55" s="31"/>
      <c r="B55" s="31"/>
      <c r="C55" s="31"/>
      <c r="D55" s="31"/>
      <c r="E55" s="31"/>
      <c r="F55" s="31"/>
      <c r="G55" s="31"/>
      <c r="H55" s="31"/>
      <c r="I55" s="31"/>
      <c r="J55" s="31"/>
    </row>
    <row r="56" spans="1:12" x14ac:dyDescent="0.15">
      <c r="A56" s="31"/>
      <c r="B56" s="31"/>
      <c r="C56" s="31"/>
      <c r="D56" s="31"/>
      <c r="E56" s="31"/>
      <c r="F56" s="31"/>
      <c r="G56" s="31"/>
      <c r="H56" s="31"/>
      <c r="I56" s="31"/>
      <c r="J56" s="31"/>
    </row>
    <row r="57" spans="1:12" x14ac:dyDescent="0.15">
      <c r="A57" s="31"/>
      <c r="B57" s="31"/>
      <c r="C57" s="31"/>
      <c r="D57" s="31"/>
      <c r="E57" s="31"/>
      <c r="F57" s="31"/>
      <c r="G57" s="31"/>
      <c r="H57" s="31"/>
      <c r="I57" s="31"/>
      <c r="J57" s="31"/>
    </row>
    <row r="59" spans="1:12" x14ac:dyDescent="0.15">
      <c r="A59" s="32" t="s">
        <v>118</v>
      </c>
      <c r="B59" s="32"/>
      <c r="C59" s="32"/>
      <c r="D59" s="32"/>
      <c r="E59" s="32"/>
      <c r="F59" s="32"/>
      <c r="G59" s="32"/>
      <c r="H59" s="32"/>
      <c r="I59" s="32"/>
      <c r="J59" s="32"/>
      <c r="K59" s="32"/>
      <c r="L59" s="32"/>
    </row>
    <row r="60" spans="1:12" x14ac:dyDescent="0.15">
      <c r="A60" s="32"/>
      <c r="B60" s="32"/>
      <c r="C60" s="32"/>
      <c r="D60" s="32"/>
      <c r="E60" s="32"/>
      <c r="F60" s="32"/>
      <c r="G60" s="32"/>
      <c r="H60" s="32"/>
      <c r="I60" s="32"/>
      <c r="J60" s="32"/>
      <c r="K60" s="32"/>
      <c r="L60" s="32"/>
    </row>
  </sheetData>
  <mergeCells count="3">
    <mergeCell ref="C1:D1"/>
    <mergeCell ref="A49:J57"/>
    <mergeCell ref="A59:L60"/>
  </mergeCells>
  <conditionalFormatting sqref="J4:J44">
    <cfRule type="colorScale" priority="3">
      <colorScale>
        <cfvo type="formula" val="0"/>
        <cfvo type="formula" val="&quot;&gt;0&quot;"/>
        <color theme="0"/>
        <color rgb="FFFFEF9C"/>
      </colorScale>
    </cfRule>
  </conditionalFormatting>
  <conditionalFormatting sqref="A4:F44 J4:J44 S6:XFD6">
    <cfRule type="colorScale" priority="1">
      <colorScale>
        <cfvo type="formula" val="0"/>
        <cfvo type="formula" val="1"/>
        <color theme="0"/>
        <color rgb="FFFFEF9C"/>
      </colorScale>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H69"/>
  <sheetViews>
    <sheetView topLeftCell="A37" zoomScale="120" zoomScaleNormal="120" workbookViewId="0">
      <selection activeCell="B41" sqref="B41"/>
    </sheetView>
  </sheetViews>
  <sheetFormatPr baseColWidth="10" defaultColWidth="11.5" defaultRowHeight="13" x14ac:dyDescent="0.15"/>
  <cols>
    <col min="1" max="1" width="14.33203125" bestFit="1" customWidth="1"/>
    <col min="2" max="2" width="13.83203125" bestFit="1" customWidth="1"/>
    <col min="3" max="3" width="25.33203125" customWidth="1"/>
    <col min="4" max="4" width="22.33203125" customWidth="1"/>
    <col min="5" max="5" width="16.6640625" bestFit="1" customWidth="1"/>
    <col min="6" max="6" width="23.83203125" bestFit="1" customWidth="1"/>
    <col min="7" max="7" width="18.5" customWidth="1"/>
    <col min="8" max="8" width="21.83203125" bestFit="1" customWidth="1"/>
  </cols>
  <sheetData>
    <row r="1" spans="1:8" x14ac:dyDescent="0.15">
      <c r="A1" s="17" t="s">
        <v>84</v>
      </c>
      <c r="B1" s="17"/>
      <c r="C1" s="17"/>
      <c r="D1" s="17"/>
      <c r="E1" s="17"/>
      <c r="F1" s="17"/>
      <c r="G1" s="17"/>
      <c r="H1" s="17"/>
    </row>
    <row r="2" spans="1:8" ht="41" customHeight="1" x14ac:dyDescent="0.15">
      <c r="A2" s="17"/>
      <c r="B2" s="17"/>
      <c r="C2" s="17"/>
      <c r="D2" s="17"/>
      <c r="E2" s="17"/>
      <c r="F2" s="17"/>
      <c r="G2" s="17"/>
      <c r="H2" s="17"/>
    </row>
    <row r="3" spans="1:8" ht="16" x14ac:dyDescent="0.2">
      <c r="A3" s="6" t="s">
        <v>82</v>
      </c>
      <c r="B3" s="6" t="s">
        <v>0</v>
      </c>
      <c r="C3" s="15" t="s">
        <v>1</v>
      </c>
      <c r="D3" s="16"/>
      <c r="E3" s="6" t="s">
        <v>2</v>
      </c>
      <c r="F3" s="6" t="s">
        <v>101</v>
      </c>
      <c r="G3" s="6" t="s">
        <v>103</v>
      </c>
      <c r="H3" s="7" t="s">
        <v>102</v>
      </c>
    </row>
    <row r="4" spans="1:8" ht="16" x14ac:dyDescent="0.2">
      <c r="A4" s="6"/>
      <c r="B4" s="6"/>
      <c r="C4" s="6" t="s">
        <v>86</v>
      </c>
      <c r="D4" s="6" t="s">
        <v>87</v>
      </c>
      <c r="E4" s="6"/>
      <c r="F4" s="6"/>
      <c r="G4" s="6"/>
      <c r="H4" s="7"/>
    </row>
    <row r="5" spans="1:8" x14ac:dyDescent="0.15">
      <c r="A5" s="1"/>
      <c r="B5" s="1" t="s">
        <v>3</v>
      </c>
      <c r="C5" s="1" t="s">
        <v>4</v>
      </c>
      <c r="D5" s="1"/>
      <c r="E5" s="1" t="s">
        <v>5</v>
      </c>
      <c r="F5" s="1">
        <v>0</v>
      </c>
      <c r="G5" s="1"/>
      <c r="H5" s="19">
        <v>67</v>
      </c>
    </row>
    <row r="6" spans="1:8" x14ac:dyDescent="0.15">
      <c r="A6" s="1"/>
      <c r="B6" s="1" t="s">
        <v>6</v>
      </c>
      <c r="C6" s="1" t="s">
        <v>7</v>
      </c>
      <c r="D6" s="1"/>
      <c r="E6" s="1" t="s">
        <v>5</v>
      </c>
      <c r="F6" s="1">
        <v>47</v>
      </c>
      <c r="G6" s="1">
        <f>F6-F5</f>
        <v>47</v>
      </c>
      <c r="H6" s="19"/>
    </row>
    <row r="7" spans="1:8" x14ac:dyDescent="0.15">
      <c r="A7" s="1"/>
      <c r="B7" s="1" t="s">
        <v>8</v>
      </c>
      <c r="C7" s="1" t="s">
        <v>7</v>
      </c>
      <c r="D7" s="1"/>
      <c r="E7" s="1" t="s">
        <v>5</v>
      </c>
      <c r="F7" s="1">
        <v>57</v>
      </c>
      <c r="G7" s="1">
        <f t="shared" ref="G7:G46" si="0">F7-F6</f>
        <v>10</v>
      </c>
      <c r="H7" s="19"/>
    </row>
    <row r="8" spans="1:8" x14ac:dyDescent="0.15">
      <c r="A8" s="2">
        <v>1</v>
      </c>
      <c r="B8" s="2" t="s">
        <v>9</v>
      </c>
      <c r="C8" s="2" t="s">
        <v>10</v>
      </c>
      <c r="D8" s="11" t="s">
        <v>98</v>
      </c>
      <c r="E8" s="2" t="s">
        <v>5</v>
      </c>
      <c r="F8" s="2">
        <v>67</v>
      </c>
      <c r="G8" s="2">
        <f t="shared" si="0"/>
        <v>10</v>
      </c>
      <c r="H8" s="19"/>
    </row>
    <row r="9" spans="1:8" x14ac:dyDescent="0.15">
      <c r="A9" s="1"/>
      <c r="B9" s="1" t="s">
        <v>11</v>
      </c>
      <c r="C9" s="1" t="s">
        <v>10</v>
      </c>
      <c r="D9" s="1"/>
      <c r="E9" s="1" t="s">
        <v>5</v>
      </c>
      <c r="F9" s="1">
        <v>77</v>
      </c>
      <c r="G9" s="1">
        <f t="shared" si="0"/>
        <v>10</v>
      </c>
      <c r="H9" s="20">
        <f>F28-F8</f>
        <v>200</v>
      </c>
    </row>
    <row r="10" spans="1:8" x14ac:dyDescent="0.15">
      <c r="A10" s="1"/>
      <c r="B10" s="1" t="s">
        <v>12</v>
      </c>
      <c r="C10" s="1" t="s">
        <v>13</v>
      </c>
      <c r="D10" s="1"/>
      <c r="E10" s="1" t="s">
        <v>5</v>
      </c>
      <c r="F10" s="1">
        <v>87</v>
      </c>
      <c r="G10" s="1">
        <f t="shared" si="0"/>
        <v>10</v>
      </c>
      <c r="H10" s="21"/>
    </row>
    <row r="11" spans="1:8" x14ac:dyDescent="0.15">
      <c r="A11" s="1"/>
      <c r="B11" s="1" t="s">
        <v>14</v>
      </c>
      <c r="C11" s="1" t="s">
        <v>13</v>
      </c>
      <c r="D11" s="1"/>
      <c r="E11" s="1" t="s">
        <v>5</v>
      </c>
      <c r="F11" s="1">
        <v>97</v>
      </c>
      <c r="G11" s="1">
        <f t="shared" si="0"/>
        <v>10</v>
      </c>
      <c r="H11" s="21"/>
    </row>
    <row r="12" spans="1:8" x14ac:dyDescent="0.15">
      <c r="A12" s="1"/>
      <c r="B12" s="1" t="s">
        <v>15</v>
      </c>
      <c r="C12" s="1" t="s">
        <v>16</v>
      </c>
      <c r="D12" s="1"/>
      <c r="E12" s="1" t="s">
        <v>5</v>
      </c>
      <c r="F12" s="1">
        <v>107</v>
      </c>
      <c r="G12" s="1">
        <f t="shared" si="0"/>
        <v>10</v>
      </c>
      <c r="H12" s="21"/>
    </row>
    <row r="13" spans="1:8" x14ac:dyDescent="0.15">
      <c r="A13" s="1"/>
      <c r="B13" s="1" t="s">
        <v>17</v>
      </c>
      <c r="C13" s="1" t="s">
        <v>16</v>
      </c>
      <c r="D13" s="1"/>
      <c r="E13" s="1" t="s">
        <v>5</v>
      </c>
      <c r="F13" s="1">
        <v>117</v>
      </c>
      <c r="G13" s="1">
        <f t="shared" si="0"/>
        <v>10</v>
      </c>
      <c r="H13" s="21"/>
    </row>
    <row r="14" spans="1:8" x14ac:dyDescent="0.15">
      <c r="A14" s="1"/>
      <c r="B14" s="1" t="s">
        <v>18</v>
      </c>
      <c r="C14" s="1" t="s">
        <v>19</v>
      </c>
      <c r="D14" s="1"/>
      <c r="E14" s="1" t="s">
        <v>5</v>
      </c>
      <c r="F14" s="1">
        <v>127</v>
      </c>
      <c r="G14" s="1">
        <f t="shared" si="0"/>
        <v>10</v>
      </c>
      <c r="H14" s="21"/>
    </row>
    <row r="15" spans="1:8" x14ac:dyDescent="0.15">
      <c r="A15" s="1"/>
      <c r="B15" s="1" t="s">
        <v>20</v>
      </c>
      <c r="C15" s="1" t="s">
        <v>19</v>
      </c>
      <c r="D15" s="1"/>
      <c r="E15" s="1" t="s">
        <v>5</v>
      </c>
      <c r="F15" s="1">
        <v>137</v>
      </c>
      <c r="G15" s="1">
        <f t="shared" si="0"/>
        <v>10</v>
      </c>
      <c r="H15" s="21"/>
    </row>
    <row r="16" spans="1:8" x14ac:dyDescent="0.15">
      <c r="A16" s="1"/>
      <c r="B16" s="1" t="s">
        <v>21</v>
      </c>
      <c r="C16" s="1" t="s">
        <v>22</v>
      </c>
      <c r="D16" s="1"/>
      <c r="E16" s="1" t="s">
        <v>5</v>
      </c>
      <c r="F16" s="1">
        <v>147</v>
      </c>
      <c r="G16" s="1">
        <f t="shared" si="0"/>
        <v>10</v>
      </c>
      <c r="H16" s="21"/>
    </row>
    <row r="17" spans="1:8" x14ac:dyDescent="0.15">
      <c r="A17" s="1"/>
      <c r="B17" s="1" t="s">
        <v>23</v>
      </c>
      <c r="C17" s="1" t="s">
        <v>22</v>
      </c>
      <c r="D17" s="1"/>
      <c r="E17" s="1" t="s">
        <v>5</v>
      </c>
      <c r="F17" s="1">
        <v>157</v>
      </c>
      <c r="G17" s="1">
        <f t="shared" si="0"/>
        <v>10</v>
      </c>
      <c r="H17" s="21"/>
    </row>
    <row r="18" spans="1:8" x14ac:dyDescent="0.15">
      <c r="A18" s="1"/>
      <c r="B18" s="1" t="s">
        <v>24</v>
      </c>
      <c r="C18" s="1" t="s">
        <v>25</v>
      </c>
      <c r="D18" s="1"/>
      <c r="E18" s="1" t="s">
        <v>5</v>
      </c>
      <c r="F18" s="1">
        <v>167</v>
      </c>
      <c r="G18" s="1">
        <f t="shared" si="0"/>
        <v>10</v>
      </c>
      <c r="H18" s="21"/>
    </row>
    <row r="19" spans="1:8" x14ac:dyDescent="0.15">
      <c r="A19" s="1"/>
      <c r="B19" s="1" t="s">
        <v>26</v>
      </c>
      <c r="C19" s="1" t="s">
        <v>25</v>
      </c>
      <c r="D19" s="1"/>
      <c r="E19" s="1" t="s">
        <v>5</v>
      </c>
      <c r="F19" s="1">
        <v>177</v>
      </c>
      <c r="G19" s="1">
        <f t="shared" si="0"/>
        <v>10</v>
      </c>
      <c r="H19" s="21"/>
    </row>
    <row r="20" spans="1:8" x14ac:dyDescent="0.15">
      <c r="A20" s="1"/>
      <c r="B20" s="1" t="s">
        <v>27</v>
      </c>
      <c r="C20" s="1" t="s">
        <v>28</v>
      </c>
      <c r="D20" s="1"/>
      <c r="E20" s="1" t="s">
        <v>5</v>
      </c>
      <c r="F20" s="1">
        <v>187</v>
      </c>
      <c r="G20" s="1">
        <f t="shared" si="0"/>
        <v>10</v>
      </c>
      <c r="H20" s="21"/>
    </row>
    <row r="21" spans="1:8" x14ac:dyDescent="0.15">
      <c r="A21" s="1"/>
      <c r="B21" s="1" t="s">
        <v>29</v>
      </c>
      <c r="C21" s="1" t="s">
        <v>28</v>
      </c>
      <c r="D21" s="1"/>
      <c r="E21" s="1" t="s">
        <v>5</v>
      </c>
      <c r="F21" s="1">
        <v>197</v>
      </c>
      <c r="G21" s="1">
        <f t="shared" si="0"/>
        <v>10</v>
      </c>
      <c r="H21" s="21"/>
    </row>
    <row r="22" spans="1:8" x14ac:dyDescent="0.15">
      <c r="A22" s="1"/>
      <c r="B22" s="1" t="s">
        <v>30</v>
      </c>
      <c r="C22" s="1" t="s">
        <v>31</v>
      </c>
      <c r="D22" s="1"/>
      <c r="E22" s="1" t="s">
        <v>5</v>
      </c>
      <c r="F22" s="1">
        <v>207</v>
      </c>
      <c r="G22" s="1">
        <f t="shared" si="0"/>
        <v>10</v>
      </c>
      <c r="H22" s="21"/>
    </row>
    <row r="23" spans="1:8" x14ac:dyDescent="0.15">
      <c r="A23" s="1"/>
      <c r="B23" s="1" t="s">
        <v>32</v>
      </c>
      <c r="C23" s="1" t="s">
        <v>31</v>
      </c>
      <c r="D23" s="1"/>
      <c r="E23" s="1" t="s">
        <v>5</v>
      </c>
      <c r="F23" s="1">
        <v>217</v>
      </c>
      <c r="G23" s="1">
        <f t="shared" si="0"/>
        <v>10</v>
      </c>
      <c r="H23" s="21"/>
    </row>
    <row r="24" spans="1:8" x14ac:dyDescent="0.15">
      <c r="A24" s="1"/>
      <c r="B24" s="1" t="s">
        <v>33</v>
      </c>
      <c r="C24" s="1" t="s">
        <v>34</v>
      </c>
      <c r="D24" s="1"/>
      <c r="E24" s="1" t="s">
        <v>35</v>
      </c>
      <c r="F24" s="1">
        <v>227</v>
      </c>
      <c r="G24" s="1">
        <f t="shared" si="0"/>
        <v>10</v>
      </c>
      <c r="H24" s="21"/>
    </row>
    <row r="25" spans="1:8" x14ac:dyDescent="0.15">
      <c r="A25" s="1"/>
      <c r="B25" s="1" t="s">
        <v>36</v>
      </c>
      <c r="C25" s="1" t="s">
        <v>37</v>
      </c>
      <c r="D25" s="1"/>
      <c r="E25" s="1" t="s">
        <v>38</v>
      </c>
      <c r="F25" s="1">
        <v>237</v>
      </c>
      <c r="G25" s="1">
        <f t="shared" si="0"/>
        <v>10</v>
      </c>
      <c r="H25" s="21"/>
    </row>
    <row r="26" spans="1:8" x14ac:dyDescent="0.15">
      <c r="A26" s="1"/>
      <c r="B26" s="1" t="s">
        <v>39</v>
      </c>
      <c r="C26" s="1" t="s">
        <v>40</v>
      </c>
      <c r="D26" s="1" t="s">
        <v>98</v>
      </c>
      <c r="E26" s="1" t="s">
        <v>38</v>
      </c>
      <c r="F26" s="1">
        <v>247</v>
      </c>
      <c r="G26" s="1">
        <f t="shared" si="0"/>
        <v>10</v>
      </c>
      <c r="H26" s="21"/>
    </row>
    <row r="27" spans="1:8" x14ac:dyDescent="0.15">
      <c r="A27" s="1"/>
      <c r="B27" s="1" t="s">
        <v>41</v>
      </c>
      <c r="C27" s="1" t="s">
        <v>42</v>
      </c>
      <c r="D27" s="1"/>
      <c r="E27" s="1" t="s">
        <v>43</v>
      </c>
      <c r="F27" s="1">
        <v>257</v>
      </c>
      <c r="G27" s="1">
        <f t="shared" si="0"/>
        <v>10</v>
      </c>
      <c r="H27" s="21"/>
    </row>
    <row r="28" spans="1:8" x14ac:dyDescent="0.15">
      <c r="A28" s="3">
        <v>2</v>
      </c>
      <c r="B28" s="3" t="s">
        <v>44</v>
      </c>
      <c r="C28" s="3" t="s">
        <v>45</v>
      </c>
      <c r="D28" s="12"/>
      <c r="E28" s="3" t="s">
        <v>35</v>
      </c>
      <c r="F28" s="3">
        <v>267</v>
      </c>
      <c r="G28" s="3">
        <f t="shared" si="0"/>
        <v>10</v>
      </c>
      <c r="H28" s="22"/>
    </row>
    <row r="29" spans="1:8" x14ac:dyDescent="0.15">
      <c r="A29" s="4">
        <v>3</v>
      </c>
      <c r="B29" s="4" t="s">
        <v>47</v>
      </c>
      <c r="C29" s="4" t="s">
        <v>48</v>
      </c>
      <c r="D29" s="4" t="s">
        <v>88</v>
      </c>
      <c r="E29" s="4" t="s">
        <v>46</v>
      </c>
      <c r="F29" s="4">
        <v>277</v>
      </c>
      <c r="G29" s="4">
        <f t="shared" si="0"/>
        <v>10</v>
      </c>
      <c r="H29" s="13">
        <f>F29-F28</f>
        <v>10</v>
      </c>
    </row>
    <row r="30" spans="1:8" x14ac:dyDescent="0.15">
      <c r="A30" s="1"/>
      <c r="B30" s="1" t="s">
        <v>49</v>
      </c>
      <c r="C30" s="1" t="s">
        <v>50</v>
      </c>
      <c r="D30" s="1"/>
      <c r="E30" s="1" t="s">
        <v>46</v>
      </c>
      <c r="F30" s="1">
        <v>287</v>
      </c>
      <c r="G30" s="1">
        <f t="shared" si="0"/>
        <v>10</v>
      </c>
      <c r="H30" s="19">
        <f>F32-F29</f>
        <v>30</v>
      </c>
    </row>
    <row r="31" spans="1:8" x14ac:dyDescent="0.15">
      <c r="A31" s="1"/>
      <c r="B31" s="1" t="s">
        <v>51</v>
      </c>
      <c r="C31" s="1" t="s">
        <v>52</v>
      </c>
      <c r="D31" s="1"/>
      <c r="E31" s="1" t="s">
        <v>46</v>
      </c>
      <c r="F31" s="1">
        <v>297</v>
      </c>
      <c r="G31" s="1">
        <f t="shared" si="0"/>
        <v>10</v>
      </c>
      <c r="H31" s="19"/>
    </row>
    <row r="32" spans="1:8" x14ac:dyDescent="0.15">
      <c r="A32" s="4">
        <v>4</v>
      </c>
      <c r="B32" s="4" t="s">
        <v>53</v>
      </c>
      <c r="C32" s="4" t="s">
        <v>54</v>
      </c>
      <c r="D32" s="4" t="s">
        <v>89</v>
      </c>
      <c r="E32" s="4" t="s">
        <v>46</v>
      </c>
      <c r="F32" s="4">
        <v>307</v>
      </c>
      <c r="G32" s="4">
        <f t="shared" si="0"/>
        <v>10</v>
      </c>
      <c r="H32" s="19"/>
    </row>
    <row r="33" spans="1:8" x14ac:dyDescent="0.15">
      <c r="A33" s="1"/>
      <c r="B33" s="1" t="s">
        <v>55</v>
      </c>
      <c r="C33" s="1" t="s">
        <v>56</v>
      </c>
      <c r="D33" s="1"/>
      <c r="E33" s="1" t="s">
        <v>46</v>
      </c>
      <c r="F33" s="1">
        <v>317</v>
      </c>
      <c r="G33" s="1">
        <f t="shared" si="0"/>
        <v>10</v>
      </c>
      <c r="H33" s="19">
        <f>F36-F32</f>
        <v>40</v>
      </c>
    </row>
    <row r="34" spans="1:8" x14ac:dyDescent="0.15">
      <c r="A34" s="1"/>
      <c r="B34" s="1" t="s">
        <v>57</v>
      </c>
      <c r="C34" s="1" t="s">
        <v>52</v>
      </c>
      <c r="D34" s="1"/>
      <c r="E34" s="1" t="s">
        <v>46</v>
      </c>
      <c r="F34" s="1">
        <v>327</v>
      </c>
      <c r="G34" s="1">
        <f t="shared" si="0"/>
        <v>10</v>
      </c>
      <c r="H34" s="19"/>
    </row>
    <row r="35" spans="1:8" x14ac:dyDescent="0.15">
      <c r="A35" s="1"/>
      <c r="B35" s="1" t="s">
        <v>58</v>
      </c>
      <c r="C35" s="1" t="s">
        <v>59</v>
      </c>
      <c r="D35" s="1"/>
      <c r="E35" s="1" t="s">
        <v>46</v>
      </c>
      <c r="F35" s="1">
        <v>337</v>
      </c>
      <c r="G35" s="1">
        <f t="shared" si="0"/>
        <v>10</v>
      </c>
      <c r="H35" s="19"/>
    </row>
    <row r="36" spans="1:8" x14ac:dyDescent="0.15">
      <c r="A36" s="5">
        <v>5</v>
      </c>
      <c r="B36" s="5" t="s">
        <v>60</v>
      </c>
      <c r="C36" s="5" t="s">
        <v>61</v>
      </c>
      <c r="D36" s="5" t="s">
        <v>90</v>
      </c>
      <c r="E36" s="5" t="s">
        <v>46</v>
      </c>
      <c r="F36" s="5">
        <v>347</v>
      </c>
      <c r="G36" s="5">
        <f t="shared" si="0"/>
        <v>10</v>
      </c>
      <c r="H36" s="19"/>
    </row>
    <row r="37" spans="1:8" x14ac:dyDescent="0.15">
      <c r="A37" s="5">
        <v>6</v>
      </c>
      <c r="B37" s="5" t="s">
        <v>62</v>
      </c>
      <c r="C37" s="5" t="s">
        <v>63</v>
      </c>
      <c r="D37" s="5" t="s">
        <v>91</v>
      </c>
      <c r="E37" s="5" t="s">
        <v>46</v>
      </c>
      <c r="F37" s="5">
        <v>357</v>
      </c>
      <c r="G37" s="5">
        <f t="shared" si="0"/>
        <v>10</v>
      </c>
      <c r="H37" s="8">
        <f>F37-F36</f>
        <v>10</v>
      </c>
    </row>
    <row r="38" spans="1:8" x14ac:dyDescent="0.15">
      <c r="A38" s="5">
        <v>7</v>
      </c>
      <c r="B38" s="5" t="s">
        <v>64</v>
      </c>
      <c r="C38" s="5" t="s">
        <v>65</v>
      </c>
      <c r="D38" s="5" t="s">
        <v>92</v>
      </c>
      <c r="E38" s="5" t="s">
        <v>46</v>
      </c>
      <c r="F38" s="5">
        <v>367</v>
      </c>
      <c r="G38" s="5">
        <f t="shared" si="0"/>
        <v>10</v>
      </c>
      <c r="H38" s="8">
        <f>F38-F37</f>
        <v>10</v>
      </c>
    </row>
    <row r="39" spans="1:8" x14ac:dyDescent="0.15">
      <c r="A39" s="1"/>
      <c r="B39" s="1" t="s">
        <v>66</v>
      </c>
      <c r="C39" s="1" t="s">
        <v>67</v>
      </c>
      <c r="D39" s="1"/>
      <c r="E39" s="1" t="s">
        <v>46</v>
      </c>
      <c r="F39" s="1">
        <v>377</v>
      </c>
      <c r="G39" s="1">
        <f t="shared" si="0"/>
        <v>10</v>
      </c>
      <c r="H39" s="19">
        <f>F40-F38</f>
        <v>20</v>
      </c>
    </row>
    <row r="40" spans="1:8" x14ac:dyDescent="0.15">
      <c r="A40" s="5">
        <v>8</v>
      </c>
      <c r="B40" s="5" t="s">
        <v>68</v>
      </c>
      <c r="C40" s="5" t="s">
        <v>69</v>
      </c>
      <c r="D40" s="5" t="s">
        <v>93</v>
      </c>
      <c r="E40" s="5" t="s">
        <v>46</v>
      </c>
      <c r="F40" s="5">
        <v>387</v>
      </c>
      <c r="G40" s="5">
        <f t="shared" si="0"/>
        <v>10</v>
      </c>
      <c r="H40" s="19"/>
    </row>
    <row r="41" spans="1:8" x14ac:dyDescent="0.15">
      <c r="A41" s="5">
        <v>9</v>
      </c>
      <c r="B41" s="5" t="s">
        <v>70</v>
      </c>
      <c r="C41" s="5" t="s">
        <v>71</v>
      </c>
      <c r="D41" s="5" t="s">
        <v>94</v>
      </c>
      <c r="E41" s="5" t="s">
        <v>46</v>
      </c>
      <c r="F41" s="5">
        <v>397</v>
      </c>
      <c r="G41" s="5">
        <f t="shared" si="0"/>
        <v>10</v>
      </c>
      <c r="H41" s="8">
        <f>F41-F40</f>
        <v>10</v>
      </c>
    </row>
    <row r="42" spans="1:8" x14ac:dyDescent="0.15">
      <c r="A42" s="5">
        <v>10</v>
      </c>
      <c r="B42" s="5" t="s">
        <v>72</v>
      </c>
      <c r="C42" s="5" t="s">
        <v>73</v>
      </c>
      <c r="D42" s="5" t="s">
        <v>95</v>
      </c>
      <c r="E42" s="5" t="s">
        <v>46</v>
      </c>
      <c r="F42" s="5">
        <v>407</v>
      </c>
      <c r="G42" s="5">
        <f t="shared" si="0"/>
        <v>10</v>
      </c>
      <c r="H42" s="8">
        <f>F42-F41</f>
        <v>10</v>
      </c>
    </row>
    <row r="43" spans="1:8" x14ac:dyDescent="0.15">
      <c r="A43" s="1"/>
      <c r="B43" s="1" t="s">
        <v>74</v>
      </c>
      <c r="C43" s="1" t="s">
        <v>75</v>
      </c>
      <c r="D43" s="1"/>
      <c r="E43" s="1" t="s">
        <v>46</v>
      </c>
      <c r="F43" s="1">
        <v>417</v>
      </c>
      <c r="G43" s="1">
        <f t="shared" si="0"/>
        <v>10</v>
      </c>
      <c r="H43" s="19">
        <f>F44-F42</f>
        <v>20</v>
      </c>
    </row>
    <row r="44" spans="1:8" x14ac:dyDescent="0.15">
      <c r="A44" s="5">
        <v>11</v>
      </c>
      <c r="B44" s="5" t="s">
        <v>76</v>
      </c>
      <c r="C44" s="5" t="s">
        <v>77</v>
      </c>
      <c r="D44" s="5" t="s">
        <v>96</v>
      </c>
      <c r="E44" s="5" t="s">
        <v>46</v>
      </c>
      <c r="F44" s="5">
        <v>427</v>
      </c>
      <c r="G44" s="5">
        <f t="shared" si="0"/>
        <v>10</v>
      </c>
      <c r="H44" s="19"/>
    </row>
    <row r="45" spans="1:8" x14ac:dyDescent="0.15">
      <c r="A45" s="1"/>
      <c r="B45" s="1" t="s">
        <v>78</v>
      </c>
      <c r="C45" s="1" t="s">
        <v>79</v>
      </c>
      <c r="D45" s="1"/>
      <c r="E45" s="1" t="s">
        <v>46</v>
      </c>
      <c r="F45" s="1">
        <v>437</v>
      </c>
      <c r="G45" s="1">
        <f t="shared" si="0"/>
        <v>10</v>
      </c>
      <c r="H45" s="19">
        <f>F46-F44</f>
        <v>20</v>
      </c>
    </row>
    <row r="46" spans="1:8" x14ac:dyDescent="0.15">
      <c r="A46" s="5">
        <v>12</v>
      </c>
      <c r="B46" s="5" t="s">
        <v>80</v>
      </c>
      <c r="C46" s="5" t="s">
        <v>81</v>
      </c>
      <c r="D46" s="5" t="s">
        <v>97</v>
      </c>
      <c r="E46" s="5" t="s">
        <v>46</v>
      </c>
      <c r="F46" s="5">
        <v>447</v>
      </c>
      <c r="G46" s="5">
        <f t="shared" si="0"/>
        <v>10</v>
      </c>
      <c r="H46" s="19"/>
    </row>
    <row r="47" spans="1:8" x14ac:dyDescent="0.15">
      <c r="A47" s="24" t="s">
        <v>83</v>
      </c>
      <c r="B47" s="25"/>
      <c r="C47" s="25"/>
      <c r="D47" s="25"/>
      <c r="E47" s="26"/>
      <c r="F47" s="1">
        <v>0</v>
      </c>
      <c r="G47" s="1">
        <v>53</v>
      </c>
      <c r="H47" s="8">
        <v>53</v>
      </c>
    </row>
    <row r="48" spans="1:8" x14ac:dyDescent="0.15">
      <c r="A48" s="27"/>
      <c r="B48" s="28"/>
      <c r="C48" s="28"/>
      <c r="D48" s="28"/>
      <c r="E48" s="29"/>
      <c r="F48" s="9">
        <v>500</v>
      </c>
      <c r="G48" s="9">
        <f>SUM(G6:G47)</f>
        <v>500</v>
      </c>
      <c r="H48" s="10">
        <f>SUM(H5:H47)</f>
        <v>500</v>
      </c>
    </row>
    <row r="52" spans="1:8" x14ac:dyDescent="0.15">
      <c r="A52" s="18" t="s">
        <v>85</v>
      </c>
      <c r="B52" s="18"/>
      <c r="C52" s="18"/>
      <c r="D52" s="18"/>
      <c r="E52" s="18"/>
      <c r="F52" s="18"/>
      <c r="G52" s="18"/>
      <c r="H52" s="18"/>
    </row>
    <row r="53" spans="1:8" x14ac:dyDescent="0.15">
      <c r="A53" s="18"/>
      <c r="B53" s="18"/>
      <c r="C53" s="18"/>
      <c r="D53" s="18"/>
      <c r="E53" s="18"/>
      <c r="F53" s="18"/>
      <c r="G53" s="18"/>
      <c r="H53" s="18"/>
    </row>
    <row r="54" spans="1:8" x14ac:dyDescent="0.15">
      <c r="A54" s="18"/>
      <c r="B54" s="18"/>
      <c r="C54" s="18"/>
      <c r="D54" s="18"/>
      <c r="E54" s="18"/>
      <c r="F54" s="18"/>
      <c r="G54" s="18"/>
      <c r="H54" s="18"/>
    </row>
    <row r="55" spans="1:8" x14ac:dyDescent="0.15">
      <c r="A55" s="18"/>
      <c r="B55" s="18"/>
      <c r="C55" s="18"/>
      <c r="D55" s="18"/>
      <c r="E55" s="18"/>
      <c r="F55" s="18"/>
      <c r="G55" s="18"/>
      <c r="H55" s="18"/>
    </row>
    <row r="56" spans="1:8" x14ac:dyDescent="0.15">
      <c r="A56" s="18"/>
      <c r="B56" s="18"/>
      <c r="C56" s="18"/>
      <c r="D56" s="18"/>
      <c r="E56" s="18"/>
      <c r="F56" s="18"/>
      <c r="G56" s="18"/>
      <c r="H56" s="18"/>
    </row>
    <row r="57" spans="1:8" x14ac:dyDescent="0.15">
      <c r="A57" s="18"/>
      <c r="B57" s="18"/>
      <c r="C57" s="18"/>
      <c r="D57" s="18"/>
      <c r="E57" s="18"/>
      <c r="F57" s="18"/>
      <c r="G57" s="18"/>
      <c r="H57" s="18"/>
    </row>
    <row r="60" spans="1:8" x14ac:dyDescent="0.15">
      <c r="A60" s="18" t="s">
        <v>99</v>
      </c>
      <c r="B60" s="18"/>
      <c r="C60" s="18"/>
      <c r="D60" s="18"/>
      <c r="E60" s="18"/>
      <c r="F60" s="18"/>
      <c r="G60" s="18"/>
      <c r="H60" s="18"/>
    </row>
    <row r="61" spans="1:8" x14ac:dyDescent="0.15">
      <c r="A61" s="18"/>
      <c r="B61" s="18"/>
      <c r="C61" s="18"/>
      <c r="D61" s="18"/>
      <c r="E61" s="18"/>
      <c r="F61" s="18"/>
      <c r="G61" s="18"/>
      <c r="H61" s="18"/>
    </row>
    <row r="62" spans="1:8" x14ac:dyDescent="0.15">
      <c r="A62" s="18"/>
      <c r="B62" s="18"/>
      <c r="C62" s="18"/>
      <c r="D62" s="18"/>
      <c r="E62" s="18"/>
      <c r="F62" s="18"/>
      <c r="G62" s="18"/>
      <c r="H62" s="18"/>
    </row>
    <row r="63" spans="1:8" x14ac:dyDescent="0.15">
      <c r="A63" s="18"/>
      <c r="B63" s="18"/>
      <c r="C63" s="18"/>
      <c r="D63" s="18"/>
      <c r="E63" s="18"/>
      <c r="F63" s="18"/>
      <c r="G63" s="18"/>
      <c r="H63" s="18"/>
    </row>
    <row r="66" spans="1:8" ht="13" customHeight="1" x14ac:dyDescent="0.15">
      <c r="A66" s="23" t="s">
        <v>100</v>
      </c>
      <c r="B66" s="23"/>
      <c r="C66" s="23"/>
      <c r="D66" s="23"/>
      <c r="E66" s="23"/>
      <c r="F66" s="23"/>
      <c r="G66" s="23"/>
      <c r="H66" s="23"/>
    </row>
    <row r="67" spans="1:8" x14ac:dyDescent="0.15">
      <c r="A67" s="23"/>
      <c r="B67" s="23"/>
      <c r="C67" s="23"/>
      <c r="D67" s="23"/>
      <c r="E67" s="23"/>
      <c r="F67" s="23"/>
      <c r="G67" s="23"/>
      <c r="H67" s="23"/>
    </row>
    <row r="68" spans="1:8" x14ac:dyDescent="0.15">
      <c r="A68" s="23"/>
      <c r="B68" s="23"/>
      <c r="C68" s="23"/>
      <c r="D68" s="23"/>
      <c r="E68" s="23"/>
      <c r="F68" s="23"/>
      <c r="G68" s="23"/>
      <c r="H68" s="23"/>
    </row>
    <row r="69" spans="1:8" x14ac:dyDescent="0.15">
      <c r="A69" s="23"/>
      <c r="B69" s="23"/>
      <c r="C69" s="23"/>
      <c r="D69" s="23"/>
      <c r="E69" s="23"/>
      <c r="F69" s="23"/>
      <c r="G69" s="23"/>
      <c r="H69" s="23"/>
    </row>
  </sheetData>
  <mergeCells count="13">
    <mergeCell ref="A60:H63"/>
    <mergeCell ref="A66:H69"/>
    <mergeCell ref="H43:H44"/>
    <mergeCell ref="H45:H46"/>
    <mergeCell ref="A47:E48"/>
    <mergeCell ref="A1:H2"/>
    <mergeCell ref="A52:H57"/>
    <mergeCell ref="C3:D3"/>
    <mergeCell ref="H5:H8"/>
    <mergeCell ref="H30:H32"/>
    <mergeCell ref="H33:H36"/>
    <mergeCell ref="H39:H40"/>
    <mergeCell ref="H9:H28"/>
  </mergeCells>
  <pageMargins left="0.78749999999999998" right="0.78749999999999998" top="1.05277777777778" bottom="1.05277777777778" header="0.78749999999999998" footer="0.78749999999999998"/>
  <pageSetup paperSize="9" orientation="portrait" useFirstPageNumber="1" horizontalDpi="300" verticalDpi="300"/>
  <headerFooter>
    <oddHeader>&amp;C&amp;"Times New Roman,Regular"&amp;12&amp;A</oddHeader>
    <oddFooter>&amp;C&amp;"Times New Roman,Regular"&amp;12Page &amp;P</oddFooter>
  </headerFooter>
</worksheet>
</file>

<file path=docProps/app.xml><?xml version="1.0" encoding="utf-8"?>
<Properties xmlns="http://schemas.openxmlformats.org/officeDocument/2006/extended-properties" xmlns:vt="http://schemas.openxmlformats.org/officeDocument/2006/docPropsVTypes">
  <Template/>
  <TotalTime>0</TotalTime>
  <Application>Microsoft Macintosh Excel</Application>
  <DocSecurity>0</DocSecurity>
  <ScaleCrop>false</ScaleCrop>
  <HeadingPairs>
    <vt:vector size="2" baseType="variant">
      <vt:variant>
        <vt:lpstr>Worksheets</vt:lpstr>
      </vt:variant>
      <vt:variant>
        <vt:i4>2</vt:i4>
      </vt:variant>
    </vt:vector>
  </HeadingPairs>
  <TitlesOfParts>
    <vt:vector size="2" baseType="lpstr">
      <vt:lpstr>calculate_net_of_resistor</vt:lpstr>
      <vt:lpstr>tabela_banda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dc:description/>
  <cp:lastModifiedBy>Ricardo Caratti</cp:lastModifiedBy>
  <cp:revision>1</cp:revision>
  <dcterms:created xsi:type="dcterms:W3CDTF">2025-01-02T13:52:17Z</dcterms:created>
  <dcterms:modified xsi:type="dcterms:W3CDTF">2025-01-06T20:25:04Z</dcterms:modified>
  <dc:language>en-US</dc:language>
</cp:coreProperties>
</file>